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mc:AlternateContent xmlns:mc="http://schemas.openxmlformats.org/markup-compatibility/2006">
    <mc:Choice Requires="x15">
      <x15ac:absPath xmlns:x15ac="http://schemas.microsoft.com/office/spreadsheetml/2010/11/ac" url="C:\Users\isadiape\Downloads\notebooklm\"/>
    </mc:Choice>
  </mc:AlternateContent>
  <xr:revisionPtr revIDLastSave="0" documentId="13_ncr:1_{252F1CE6-4D18-4FB4-9412-05860B60D062}" xr6:coauthVersionLast="47" xr6:coauthVersionMax="47" xr10:uidLastSave="{00000000-0000-0000-0000-000000000000}"/>
  <bookViews>
    <workbookView xWindow="-98" yWindow="-98" windowWidth="21795" windowHeight="12975" tabRatio="877" firstSheet="5" activeTab="16" xr2:uid="{C08D2C1A-B024-45C0-B677-73C050740808}"/>
  </bookViews>
  <sheets>
    <sheet name="Index" sheetId="53081" state="hidden" r:id="rId1"/>
    <sheet name="TSPi Instructions" sheetId="53094" r:id="rId2"/>
    <sheet name="TSP Instructions" sheetId="53110" state="hidden" r:id="rId3"/>
    <sheet name="PlanGuide" sheetId="53115" state="hidden" r:id="rId4"/>
    <sheet name="QualGuide" sheetId="53116" state="hidden" r:id="rId5"/>
    <sheet name="Project" sheetId="53074" r:id="rId6"/>
    <sheet name="Team" sheetId="53082" r:id="rId7"/>
    <sheet name="Goals" sheetId="53084" r:id="rId8"/>
    <sheet name="Roles" sheetId="53083" r:id="rId9"/>
    <sheet name="SUMP" sheetId="53099" r:id="rId10"/>
    <sheet name="SUMQ" sheetId="53100" r:id="rId11"/>
    <sheet name="SUMS" sheetId="53108" r:id="rId12"/>
    <sheet name="S" sheetId="53117" state="hidden" r:id="rId13"/>
    <sheet name="Task" sheetId="53073" r:id="rId14"/>
    <sheet name="Schedule" sheetId="53045" r:id="rId15"/>
    <sheet name="Risk" sheetId="53088" state="hidden" r:id="rId16"/>
    <sheet name="LOGT" sheetId="53035" r:id="rId17"/>
    <sheet name="LOGD" sheetId="53053" state="hidden" r:id="rId18"/>
    <sheet name="Week" sheetId="53109" r:id="rId19"/>
    <sheet name="IRTL" sheetId="53111" r:id="rId20"/>
    <sheet name="IRWeek" sheetId="53113" r:id="rId21"/>
    <sheet name="DefectTypes" sheetId="53054" r:id="rId22"/>
    <sheet name="Phases" sheetId="53071" state="hidden" r:id="rId23"/>
    <sheet name="QProfParam" sheetId="53095" r:id="rId24"/>
  </sheets>
  <definedNames>
    <definedName name="_xlnm._FilterDatabase" localSheetId="17" hidden="1">LOGD!$A$6:$I$68</definedName>
    <definedName name="_xlnm._FilterDatabase" localSheetId="16" hidden="1">LOGT!$A$1:$I$105</definedName>
    <definedName name="_xlnm._FilterDatabase" localSheetId="14" hidden="1">Schedule!$A$1:$S$44</definedName>
    <definedName name="_xlnm._FilterDatabase" localSheetId="11" hidden="1">SUMS!$A$1:$ER$131</definedName>
    <definedName name="_xlnm._FilterDatabase" localSheetId="13" hidden="1">Task!$A$1:$AB$233</definedName>
    <definedName name="_xlnm.Print_Area" localSheetId="21">DefectTypes!$A:$B</definedName>
    <definedName name="_xlnm.Print_Area" localSheetId="7">Goals!$A:$F</definedName>
    <definedName name="_xlnm.Print_Area" localSheetId="0">Index!$A$1:$E$36</definedName>
    <definedName name="_xlnm.Print_Area" localSheetId="17">LOGD!$A:$I</definedName>
    <definedName name="_xlnm.Print_Area" localSheetId="5">Project!$A$1:$H$37</definedName>
    <definedName name="_xlnm.Print_Area" localSheetId="23">QProfParam!$A$1:$C$6</definedName>
    <definedName name="_xlnm.Print_Area" localSheetId="15">Risk!$A$1:$H$11</definedName>
    <definedName name="_xlnm.Print_Area" localSheetId="14">Schedule!$A:$T</definedName>
    <definedName name="_xlnm.Print_Area" localSheetId="9">SUMP!$A:$J</definedName>
    <definedName name="_xlnm.Print_Area" localSheetId="10">SUMQ!$A$1:$J$124</definedName>
    <definedName name="_xlnm.Print_Area" localSheetId="13">Task!$A:$AH</definedName>
    <definedName name="_xlnm.Print_Area" localSheetId="2">'TSP Instructions'!$A:$D</definedName>
    <definedName name="_xlnm.Print_Area" localSheetId="1">'TSPi Instructions'!$A:$D</definedName>
    <definedName name="AsOfDateOverride">Project!$D$7</definedName>
    <definedName name="Compile_Defects_KLOC">SUMQ!$F$22</definedName>
    <definedName name="Compile_Defects_KLOC_Plan">SUMQ!$D$22</definedName>
    <definedName name="ComponentQP">Project!$AA$1:$AC$6</definedName>
    <definedName name="CR_Code_Time_Ratio">SUMQ!$F$41</definedName>
    <definedName name="CR_Code_Time_Ratio_Plan">SUMQ!$D$41</definedName>
    <definedName name="CumEarnedValue">Schedule!$A$7:$A$15,Schedule!$H$7:$H$15,Schedule!$J$7:$J$15,Schedule!$N$7:$N$15,Schedule!$R$7:$R$15</definedName>
    <definedName name="CumPlannedActualHours">Schedule!$A$7:$A$38,Schedule!$D$7:$D$38,Schedule!$F$7:$F$38,Schedule!$P$7:$P$38</definedName>
    <definedName name="Cumulative_Defects_Removed_Plan_Actual">SUMP!$AA$71:$AC$91</definedName>
    <definedName name="currentDate">Project!$D$3</definedName>
    <definedName name="Cycle">Project!$D$6</definedName>
    <definedName name="Defects_Injected_in_Phase_Actual_Percent">SUMP!$A$51:$A$68,SUMP!$F$51:$F$68</definedName>
    <definedName name="Defects_KLOC">SUMQ!$A$19:$A$26,SUMQ!$F$19:$F$26</definedName>
    <definedName name="Defects_KLOC_Plan">SUMQ!$A$19:$A$26,SUMQ!$D$19:$D$26</definedName>
    <definedName name="Defects_KLOC_Plan_Actual">SUMQ!$A$18:$A$26,SUMQ!$D$18:$D$26,SUMQ!$F$18:$F$26</definedName>
    <definedName name="Defects_Removed_in_Phase_Actual_Percent">SUMP!$A$72:$A$89,SUMP!$F$72:$F$89</definedName>
    <definedName name="Defects_Removed_Plan_Actual">SUMP!$A$71:$A$89,SUMP!$A$91:$A$92,SUMP!$B$71:$B$89,SUMP!$B$91:$B$92,SUMP!$D$71:$D$89,SUMP!$D$91:$D$92</definedName>
    <definedName name="DefectTypesDatabaseRange">DefectTypes!$A$1:$B$11</definedName>
    <definedName name="DLD_Code_Time_Ratio">SUMQ!$F$39</definedName>
    <definedName name="DLD_Code_Time_Ratio_Plan">SUMQ!$D$39</definedName>
    <definedName name="DLDR_DLD_Time_Ratio">SUMQ!$F$40</definedName>
    <definedName name="DLDR_DLD_Time_Ratio_Plan">SUMQ!$D$40</definedName>
    <definedName name="EarnedValue">Schedule!$A$7:$A$11,Schedule!$G$7:$G$11,Schedule!$I$7:$I$11,Schedule!$M$7:$M$11,Schedule!$Q$7:$Q$11</definedName>
    <definedName name="GoalsDatabaseRange">Goals!$A$2:$F$8</definedName>
    <definedName name="Inspection_Review_Rates_Plan_Actual">SUMQ!$A$43:$A$49,SUMQ!$D$43:$D$49,SUMQ!$F$43:$F$49</definedName>
    <definedName name="InstructorName">Project!$D$5</definedName>
    <definedName name="IRTLDatabaseRange">IRTL!$A$6:$K$6</definedName>
    <definedName name="LOGDDatabaseRange">LOGD!$A$6:$L$6</definedName>
    <definedName name="LOGTDatabaseRange">LOGT!$A$6:$I$6</definedName>
    <definedName name="Name">Project!$B$3</definedName>
    <definedName name="Phase_Yield_Plan_Actual">SUMQ!$A$54:$A$73,SUMQ!$D$54:$D$73,SUMQ!$F$54:$F$73</definedName>
    <definedName name="PhaseInjectionRateDefaults">SUMQ!$L$82:$L$99</definedName>
    <definedName name="PhasesDatabaseRange">Phases!$A$1:$E$25</definedName>
    <definedName name="PhaseYieldDefaults">SUMQ!$L$55:$L$73</definedName>
    <definedName name="PlannedActualHours">Schedule!$A$7:$A$38,Schedule!$C$7:$C$38,Schedule!$E$7:$E$38,Schedule!$O$7:$O$38</definedName>
    <definedName name="PlannedPhaseInjectionRates">SUMQ!$D$82:$D$99</definedName>
    <definedName name="PlannedPhaseYields">SUMQ!$D$55:$D$73</definedName>
    <definedName name="Process_Yield_Plan_Actual">SUMQ!$A$74:$A$79,SUMQ!$D$74:$D$79,SUMQ!$F$74:$F$79</definedName>
    <definedName name="ProjectInfo">Project!$B$3:$B$5,Project!$D$4:$D$7</definedName>
    <definedName name="ProjectName">Project!$B$4</definedName>
    <definedName name="ProjectStartDate">Project!$D$4</definedName>
    <definedName name="QPI_Plan_Actual">Project!$I$8:$J$9</definedName>
    <definedName name="QProfParams">QProfParam!$A$2:$B$6</definedName>
    <definedName name="RolesData">Roles!$A$20:$A$25,Roles!$B$2:$E$25</definedName>
    <definedName name="ScheduleDatabaseRange">Schedule!$A$7:$AR$15</definedName>
    <definedName name="SUMQData">SUMQ!$D$55:$D$73,SUMQ!$D$82:$D$99</definedName>
    <definedName name="SUMSDatabaseRange">SUMS!$A$7:$ER$17</definedName>
    <definedName name="SYSTEM_Percent_Defect_Free">SUMQ!$A$7:$A$12,SUMQ!$F$7:$F$12</definedName>
    <definedName name="TaskDatabaseRange">Task!$A$7:$AL$36</definedName>
    <definedName name="TeamData">Team!$B$2:$I$21</definedName>
    <definedName name="TeamDatabaseRange">Team!$A$1:$I$7</definedName>
    <definedName name="TeamName">Project!$B$5</definedName>
    <definedName name="TeamTasksHoursWeeks">Team!$G$2:$I$21</definedName>
    <definedName name="theWeekToShow">Week!$C$4</definedName>
    <definedName name="theWeekToShowDate">Week!$C$5</definedName>
    <definedName name="Time_in_Phase_Actual_Percent">SUMP!$A$23:$A$44,SUMP!$F$23:$F$44</definedName>
    <definedName name="_xlnm.Print_Titles" localSheetId="17">LOGD!$1:$6</definedName>
    <definedName name="_xlnm.Print_Titles" localSheetId="16">LOGT!$1:$6</definedName>
    <definedName name="_xlnm.Print_Titles" localSheetId="14">Schedule!$1:$7</definedName>
    <definedName name="_xlnm.Print_Titles" localSheetId="9">SUMP!$1:$5</definedName>
    <definedName name="_xlnm.Print_Titles" localSheetId="10">SUMQ!$1:$5</definedName>
    <definedName name="_xlnm.Print_Titles" localSheetId="11">SUMS!$A:$F,SUMS!$1:$7</definedName>
    <definedName name="_xlnm.Print_Titles" localSheetId="13">Task!$1:$7</definedName>
    <definedName name="_xlnm.Print_Titles" localSheetId="18">Week!$1:$5</definedName>
    <definedName name="TSPProcessName">Project!$A$1</definedName>
    <definedName name="Unit_Test_Defects_KLOC">SUMQ!$F$24</definedName>
    <definedName name="Unit_Test_Defects_KLOC_Plan">SUMQ!$D$24</definedName>
    <definedName name="validTeamMembersInitials">Team!$C$2:$C$21</definedName>
    <definedName name="Version">Project!$B$7</definedName>
    <definedName name="WeekAssemblySelected">Week!$E$5</definedName>
    <definedName name="WEEKData">Week!$C$7,Week!$C$8,Week!$G$7:$G$11,Week!$I$7:$I$11,Week!$Q$7:$Q$9</definedName>
    <definedName name="ZCmdBarName">"Custom3"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 i="53073" l="1"/>
  <c r="A15" i="53045"/>
  <c r="A14" i="53045"/>
  <c r="A13" i="53045"/>
  <c r="A12" i="53045"/>
  <c r="A11" i="53045"/>
  <c r="A10" i="53045"/>
  <c r="A9" i="53045"/>
  <c r="A8" i="53045"/>
  <c r="C3" i="53082" l="1" a="1"/>
  <c r="C3" i="53082" s="1"/>
  <c r="F3" i="53082" s="1"/>
  <c r="C4" i="53082" a="1"/>
  <c r="C4" i="53082" s="1"/>
  <c r="F4" i="53082" s="1"/>
  <c r="C5" i="53082" a="1"/>
  <c r="C5" i="53082" s="1"/>
  <c r="F5" i="53082" s="1"/>
  <c r="C6" i="53082" a="1"/>
  <c r="C6" i="53082" s="1"/>
  <c r="F6" i="53082" s="1"/>
  <c r="C7" i="53082" a="1"/>
  <c r="C7" i="53082" s="1"/>
  <c r="F7" i="53082" s="1"/>
  <c r="C2" i="53082" a="1"/>
  <c r="C2" i="53082"/>
  <c r="F2" i="53082" s="1"/>
  <c r="F8" i="53082"/>
  <c r="F9" i="53082"/>
  <c r="F10" i="53082"/>
  <c r="F11" i="53082"/>
  <c r="F12" i="53082"/>
  <c r="F13" i="53082"/>
  <c r="F14" i="53082"/>
  <c r="F15" i="53082"/>
  <c r="F16" i="53082"/>
  <c r="F17" i="53082"/>
  <c r="F18" i="53082"/>
  <c r="F19" i="53082"/>
  <c r="F20" i="53082"/>
  <c r="F21" i="53082"/>
  <c r="G13" i="53109"/>
  <c r="D15" i="53099"/>
  <c r="F29" i="53100" s="1"/>
  <c r="F47" i="53100"/>
  <c r="B15" i="53099"/>
  <c r="D47" i="53100"/>
  <c r="D46" i="53100"/>
  <c r="AC72" i="53099"/>
  <c r="AC73" i="53099" s="1"/>
  <c r="AC74" i="53099" s="1"/>
  <c r="AC75" i="53099" s="1"/>
  <c r="AC76" i="53099" s="1"/>
  <c r="AC77" i="53099" s="1"/>
  <c r="AC78" i="53099" s="1"/>
  <c r="AC79" i="53099" s="1"/>
  <c r="AC80" i="53099" s="1"/>
  <c r="AC81" i="53099" s="1"/>
  <c r="AC82" i="53099" s="1"/>
  <c r="AC83" i="53099" s="1"/>
  <c r="AC84" i="53099" s="1"/>
  <c r="AC85" i="53099" s="1"/>
  <c r="AC86" i="53099" s="1"/>
  <c r="AC87" i="53099" s="1"/>
  <c r="AC88" i="53099" s="1"/>
  <c r="AC89" i="53099" s="1"/>
  <c r="AC90" i="53099" s="1"/>
  <c r="AC91" i="53099" s="1"/>
  <c r="B51" i="53099"/>
  <c r="B52" i="53099"/>
  <c r="B53" i="53099"/>
  <c r="B54" i="53099"/>
  <c r="B55" i="53099"/>
  <c r="B56" i="53099"/>
  <c r="B57" i="53099"/>
  <c r="B58" i="53099"/>
  <c r="B59" i="53099"/>
  <c r="B60" i="53099"/>
  <c r="B61" i="53099"/>
  <c r="B62" i="53099"/>
  <c r="B63" i="53099"/>
  <c r="B64" i="53099"/>
  <c r="B65" i="53099"/>
  <c r="B66" i="53099"/>
  <c r="B67" i="53099"/>
  <c r="B68" i="53099"/>
  <c r="A92" i="53099"/>
  <c r="AA91" i="53099"/>
  <c r="AA90" i="53099"/>
  <c r="J7" i="53071"/>
  <c r="J10" i="53071"/>
  <c r="J11" i="53071"/>
  <c r="I12" i="53071"/>
  <c r="J12" i="53071"/>
  <c r="I16" i="53071"/>
  <c r="J16" i="53071"/>
  <c r="A1" i="53113"/>
  <c r="C2" i="53113"/>
  <c r="D3" i="53074"/>
  <c r="B4" i="53073" s="1"/>
  <c r="C3" i="53113"/>
  <c r="H3" i="53113"/>
  <c r="I3" i="53113"/>
  <c r="I4" i="53113"/>
  <c r="A1" i="53111"/>
  <c r="B2" i="53111"/>
  <c r="B3" i="53111"/>
  <c r="G3" i="53111"/>
  <c r="H3" i="53111"/>
  <c r="H4" i="53111"/>
  <c r="A1" i="53109"/>
  <c r="C2" i="53109"/>
  <c r="C3" i="53109"/>
  <c r="M3" i="53109"/>
  <c r="O3" i="53109"/>
  <c r="O4" i="53109"/>
  <c r="K7" i="53109"/>
  <c r="M7" i="53109"/>
  <c r="K8" i="53109"/>
  <c r="M8" i="53109"/>
  <c r="C9" i="53109"/>
  <c r="K9" i="53109"/>
  <c r="M9" i="53109"/>
  <c r="K10" i="53109"/>
  <c r="M10" i="53109"/>
  <c r="K11" i="53109"/>
  <c r="G12" i="53109"/>
  <c r="I12" i="53109"/>
  <c r="K12" i="53109" s="1"/>
  <c r="I13" i="53109"/>
  <c r="E15" i="53109"/>
  <c r="E16" i="53109"/>
  <c r="E17" i="53109"/>
  <c r="E18" i="53109"/>
  <c r="E19" i="53109"/>
  <c r="E20" i="53109"/>
  <c r="I21" i="53109"/>
  <c r="K21" i="53109"/>
  <c r="M21" i="53109"/>
  <c r="O21" i="53109"/>
  <c r="A1" i="53053"/>
  <c r="B2" i="53053"/>
  <c r="B3" i="53053"/>
  <c r="E3" i="53053"/>
  <c r="F3" i="53053"/>
  <c r="F4" i="53053"/>
  <c r="A1" i="53035"/>
  <c r="B2" i="53035"/>
  <c r="B3" i="53035"/>
  <c r="E3" i="53035"/>
  <c r="F3" i="53035"/>
  <c r="F4" i="53035"/>
  <c r="F5" i="53035"/>
  <c r="A1" i="53045"/>
  <c r="C2" i="53045"/>
  <c r="C3" i="53045"/>
  <c r="I3" i="53045"/>
  <c r="B5" i="53045"/>
  <c r="I4" i="53045"/>
  <c r="C5" i="53045"/>
  <c r="C6" i="53045"/>
  <c r="A1" i="53073"/>
  <c r="B2" i="53073"/>
  <c r="O2" i="53073"/>
  <c r="B3" i="53073"/>
  <c r="A5" i="53073"/>
  <c r="B5" i="53073"/>
  <c r="B6" i="53073"/>
  <c r="D7" i="53073"/>
  <c r="E7" i="53073"/>
  <c r="F7" i="53073"/>
  <c r="G7" i="53073"/>
  <c r="H7" i="53073"/>
  <c r="I7" i="53073"/>
  <c r="B1" i="53108"/>
  <c r="C2" i="53108"/>
  <c r="C3" i="53108"/>
  <c r="B5" i="53108"/>
  <c r="C5" i="53108"/>
  <c r="C6" i="53108"/>
  <c r="CY7" i="53108"/>
  <c r="CZ7" i="53108"/>
  <c r="DA7" i="53108"/>
  <c r="DB7" i="53108"/>
  <c r="DC7" i="53108"/>
  <c r="DD7" i="53108"/>
  <c r="DE7" i="53108"/>
  <c r="DF7" i="53108"/>
  <c r="DG7" i="53108"/>
  <c r="DH7" i="53108"/>
  <c r="DI7" i="53108"/>
  <c r="DJ7" i="53108"/>
  <c r="DK7" i="53108"/>
  <c r="DL7" i="53108"/>
  <c r="DM7" i="53108"/>
  <c r="DN7" i="53108"/>
  <c r="DO7" i="53108"/>
  <c r="DP7" i="53108"/>
  <c r="DQ7" i="53108"/>
  <c r="DR7" i="53108"/>
  <c r="DS7" i="53108"/>
  <c r="DT7" i="53108"/>
  <c r="DU7" i="53108"/>
  <c r="DV7" i="53108"/>
  <c r="DW7" i="53108"/>
  <c r="DX7" i="53108"/>
  <c r="DY7" i="53108"/>
  <c r="DZ7" i="53108"/>
  <c r="EA7" i="53108"/>
  <c r="EB7" i="53108"/>
  <c r="EC7" i="53108"/>
  <c r="ED7" i="53108"/>
  <c r="EE7" i="53108"/>
  <c r="EF7" i="53108"/>
  <c r="EG7" i="53108"/>
  <c r="EH7" i="53108"/>
  <c r="EI7" i="53108"/>
  <c r="EJ7" i="53108"/>
  <c r="EK7" i="53108"/>
  <c r="EL7" i="53108"/>
  <c r="EM7" i="53108"/>
  <c r="EN7" i="53108"/>
  <c r="EO7" i="53108"/>
  <c r="EP7" i="53108"/>
  <c r="A1" i="53100"/>
  <c r="B2" i="53100"/>
  <c r="B3" i="53100"/>
  <c r="H3" i="53100"/>
  <c r="I3" i="53100"/>
  <c r="I4" i="53100"/>
  <c r="A7" i="53100"/>
  <c r="A8" i="53100"/>
  <c r="A9" i="53100"/>
  <c r="A10" i="53100"/>
  <c r="A11" i="53100"/>
  <c r="A12" i="53100"/>
  <c r="A15" i="53100"/>
  <c r="D15" i="53100"/>
  <c r="F15" i="53100"/>
  <c r="A16" i="53100"/>
  <c r="D16" i="53100"/>
  <c r="F16" i="53100"/>
  <c r="A19" i="53100"/>
  <c r="A20" i="53100"/>
  <c r="A21" i="53100"/>
  <c r="A22" i="53100"/>
  <c r="A23" i="53100"/>
  <c r="A24" i="53100"/>
  <c r="A25" i="53100"/>
  <c r="A26" i="53100"/>
  <c r="D90" i="53099"/>
  <c r="F77" i="53099" s="1"/>
  <c r="A28" i="53100"/>
  <c r="A29" i="53100"/>
  <c r="A33" i="53100"/>
  <c r="F33" i="53100"/>
  <c r="A34" i="53100"/>
  <c r="F34" i="53100"/>
  <c r="A37" i="53100"/>
  <c r="D37" i="53100"/>
  <c r="F37" i="53100"/>
  <c r="A38" i="53100"/>
  <c r="D38" i="53100"/>
  <c r="F38" i="53100"/>
  <c r="A39" i="53100"/>
  <c r="D39" i="53100"/>
  <c r="F39" i="53100"/>
  <c r="A40" i="53100"/>
  <c r="D40" i="53100"/>
  <c r="F40" i="53100"/>
  <c r="A41" i="53100"/>
  <c r="D41" i="53100"/>
  <c r="F41" i="53100"/>
  <c r="A44" i="53100"/>
  <c r="D44" i="53100"/>
  <c r="F44" i="53100"/>
  <c r="A45" i="53100"/>
  <c r="D45" i="53100"/>
  <c r="F45" i="53100"/>
  <c r="A46" i="53100"/>
  <c r="F46" i="53100"/>
  <c r="A47" i="53100"/>
  <c r="A48" i="53100"/>
  <c r="D48" i="53100"/>
  <c r="F48" i="53100"/>
  <c r="A49" i="53100"/>
  <c r="D49" i="53100"/>
  <c r="F49" i="53100"/>
  <c r="D51" i="53100"/>
  <c r="F51" i="53100"/>
  <c r="A55" i="53100"/>
  <c r="F55" i="53100"/>
  <c r="K55" i="53100"/>
  <c r="A56" i="53100"/>
  <c r="F56" i="53100"/>
  <c r="K56" i="53100"/>
  <c r="A57" i="53100"/>
  <c r="F57" i="53100"/>
  <c r="K57" i="53100"/>
  <c r="A58" i="53100"/>
  <c r="F58" i="53100"/>
  <c r="K58" i="53100"/>
  <c r="A59" i="53100"/>
  <c r="F59" i="53100"/>
  <c r="K59" i="53100"/>
  <c r="A60" i="53100"/>
  <c r="F60" i="53100"/>
  <c r="K60" i="53100"/>
  <c r="A61" i="53100"/>
  <c r="F61" i="53100"/>
  <c r="K61" i="53100"/>
  <c r="A62" i="53100"/>
  <c r="F62" i="53100"/>
  <c r="K62" i="53100"/>
  <c r="A63" i="53100"/>
  <c r="F63" i="53100"/>
  <c r="K63" i="53100"/>
  <c r="A64" i="53100"/>
  <c r="F64" i="53100"/>
  <c r="K64" i="53100"/>
  <c r="A65" i="53100"/>
  <c r="F65" i="53100"/>
  <c r="K65" i="53100"/>
  <c r="A66" i="53100"/>
  <c r="F66" i="53100"/>
  <c r="K66" i="53100"/>
  <c r="A67" i="53100"/>
  <c r="F67" i="53100"/>
  <c r="K67" i="53100"/>
  <c r="A68" i="53100"/>
  <c r="F68" i="53100"/>
  <c r="K68" i="53100"/>
  <c r="A69" i="53100"/>
  <c r="F69" i="53100"/>
  <c r="K69" i="53100"/>
  <c r="A70" i="53100"/>
  <c r="F70" i="53100"/>
  <c r="A71" i="53100"/>
  <c r="F71" i="53100"/>
  <c r="A72" i="53100"/>
  <c r="F72" i="53100"/>
  <c r="F73" i="53100"/>
  <c r="A75" i="53100"/>
  <c r="F75" i="53100"/>
  <c r="A76" i="53100"/>
  <c r="F76" i="53100"/>
  <c r="A77" i="53100"/>
  <c r="F77" i="53100"/>
  <c r="A78" i="53100"/>
  <c r="F78" i="53100"/>
  <c r="A79" i="53100"/>
  <c r="D69" i="53099"/>
  <c r="F79" i="53100" s="1"/>
  <c r="A82" i="53100"/>
  <c r="F82" i="53100"/>
  <c r="K82" i="53100"/>
  <c r="A83" i="53100"/>
  <c r="F83" i="53100"/>
  <c r="K83" i="53100"/>
  <c r="A84" i="53100"/>
  <c r="F84" i="53100"/>
  <c r="K84" i="53100"/>
  <c r="A85" i="53100"/>
  <c r="F85" i="53100"/>
  <c r="K85" i="53100"/>
  <c r="A86" i="53100"/>
  <c r="F86" i="53100"/>
  <c r="K86" i="53100"/>
  <c r="A87" i="53100"/>
  <c r="F87" i="53100"/>
  <c r="K87" i="53100"/>
  <c r="A88" i="53100"/>
  <c r="F88" i="53100"/>
  <c r="K88" i="53100"/>
  <c r="A89" i="53100"/>
  <c r="F89" i="53100"/>
  <c r="K89" i="53100"/>
  <c r="A90" i="53100"/>
  <c r="F90" i="53100"/>
  <c r="K90" i="53100"/>
  <c r="A91" i="53100"/>
  <c r="F91" i="53100"/>
  <c r="K91" i="53100"/>
  <c r="A92" i="53100"/>
  <c r="F92" i="53100"/>
  <c r="K92" i="53100"/>
  <c r="A93" i="53100"/>
  <c r="F93" i="53100"/>
  <c r="K93" i="53100"/>
  <c r="A94" i="53100"/>
  <c r="F94" i="53100"/>
  <c r="K94" i="53100"/>
  <c r="A95" i="53100"/>
  <c r="F95" i="53100"/>
  <c r="K95" i="53100"/>
  <c r="A96" i="53100"/>
  <c r="F96" i="53100"/>
  <c r="K96" i="53100"/>
  <c r="A97" i="53100"/>
  <c r="F97" i="53100"/>
  <c r="K97" i="53100"/>
  <c r="A98" i="53100"/>
  <c r="F98" i="53100"/>
  <c r="K98" i="53100"/>
  <c r="A99" i="53100"/>
  <c r="F99" i="53100"/>
  <c r="K99" i="53100"/>
  <c r="A102" i="53100"/>
  <c r="F102" i="53100"/>
  <c r="A103" i="53100"/>
  <c r="F103" i="53100"/>
  <c r="A104" i="53100"/>
  <c r="D104" i="53100"/>
  <c r="F104" i="53100"/>
  <c r="A105" i="53100"/>
  <c r="D105" i="53100"/>
  <c r="F105" i="53100"/>
  <c r="A106" i="53100"/>
  <c r="D106" i="53100"/>
  <c r="F106" i="53100"/>
  <c r="A107" i="53100"/>
  <c r="D107" i="53100"/>
  <c r="F107" i="53100"/>
  <c r="A108" i="53100"/>
  <c r="D108" i="53100"/>
  <c r="F108" i="53100"/>
  <c r="A109" i="53100"/>
  <c r="F109" i="53100"/>
  <c r="A110" i="53100"/>
  <c r="D110" i="53100"/>
  <c r="F110" i="53100"/>
  <c r="A111" i="53100"/>
  <c r="F111" i="53100"/>
  <c r="A112" i="53100"/>
  <c r="D112" i="53100"/>
  <c r="F112" i="53100"/>
  <c r="A113" i="53100"/>
  <c r="F113" i="53100"/>
  <c r="A114" i="53100"/>
  <c r="D114" i="53100"/>
  <c r="F114" i="53100"/>
  <c r="A115" i="53100"/>
  <c r="D115" i="53100"/>
  <c r="F115" i="53100"/>
  <c r="A116" i="53100"/>
  <c r="D116" i="53100"/>
  <c r="F116" i="53100"/>
  <c r="A117" i="53100"/>
  <c r="D117" i="53100"/>
  <c r="F117" i="53100"/>
  <c r="A118" i="53100"/>
  <c r="D118" i="53100"/>
  <c r="F118" i="53100"/>
  <c r="A119" i="53100"/>
  <c r="D119" i="53100"/>
  <c r="F119" i="53100"/>
  <c r="A1" i="53099"/>
  <c r="B2" i="53099"/>
  <c r="B3" i="53099"/>
  <c r="H3" i="53099"/>
  <c r="I3" i="53099"/>
  <c r="I4" i="53099"/>
  <c r="A23" i="53099"/>
  <c r="D45" i="53099"/>
  <c r="F23" i="53099" s="1"/>
  <c r="A24" i="53099"/>
  <c r="A25" i="53099"/>
  <c r="A26" i="53099"/>
  <c r="A27" i="53099"/>
  <c r="A28" i="53099"/>
  <c r="A29" i="53099"/>
  <c r="A30" i="53099"/>
  <c r="A31" i="53099"/>
  <c r="A32" i="53099"/>
  <c r="A33" i="53099"/>
  <c r="A34" i="53099"/>
  <c r="A35" i="53099"/>
  <c r="A36" i="53099"/>
  <c r="A37" i="53099"/>
  <c r="A38" i="53099"/>
  <c r="A39" i="53099"/>
  <c r="A40" i="53099"/>
  <c r="A41" i="53099"/>
  <c r="A42" i="53099"/>
  <c r="A43" i="53099"/>
  <c r="A44" i="53099"/>
  <c r="B45" i="53099"/>
  <c r="B95" i="53099" s="1"/>
  <c r="A51" i="53099"/>
  <c r="A52" i="53099"/>
  <c r="A53" i="53099"/>
  <c r="A54" i="53099"/>
  <c r="A55" i="53099"/>
  <c r="A56" i="53099"/>
  <c r="A57" i="53099"/>
  <c r="A58" i="53099"/>
  <c r="A59" i="53099"/>
  <c r="A60" i="53099"/>
  <c r="A61" i="53099"/>
  <c r="A62" i="53099"/>
  <c r="A63" i="53099"/>
  <c r="A64" i="53099"/>
  <c r="A65" i="53099"/>
  <c r="A66" i="53099"/>
  <c r="A67" i="53099"/>
  <c r="A68" i="53099"/>
  <c r="A70" i="53099"/>
  <c r="A72" i="53099"/>
  <c r="AA72" i="53099"/>
  <c r="A73" i="53099"/>
  <c r="AA73" i="53099"/>
  <c r="A74" i="53099"/>
  <c r="AA74" i="53099"/>
  <c r="A75" i="53099"/>
  <c r="AA75" i="53099"/>
  <c r="A76" i="53099"/>
  <c r="AA76" i="53099"/>
  <c r="A77" i="53099"/>
  <c r="AA77" i="53099"/>
  <c r="A78" i="53099"/>
  <c r="AA78" i="53099"/>
  <c r="A79" i="53099"/>
  <c r="AA79" i="53099"/>
  <c r="A80" i="53099"/>
  <c r="AA80" i="53099"/>
  <c r="A81" i="53099"/>
  <c r="AA81" i="53099"/>
  <c r="A82" i="53099"/>
  <c r="AA82" i="53099"/>
  <c r="A83" i="53099"/>
  <c r="AA83" i="53099"/>
  <c r="A84" i="53099"/>
  <c r="AA84" i="53099"/>
  <c r="A85" i="53099"/>
  <c r="AA85" i="53099"/>
  <c r="A86" i="53099"/>
  <c r="AA86" i="53099"/>
  <c r="A87" i="53099"/>
  <c r="AA87" i="53099"/>
  <c r="A88" i="53099"/>
  <c r="AA88" i="53099"/>
  <c r="A89" i="53099"/>
  <c r="AA89" i="53099"/>
  <c r="G22" i="53082"/>
  <c r="H22" i="53082"/>
  <c r="I22" i="53082"/>
  <c r="AB14" i="53074"/>
  <c r="AC14" i="53074"/>
  <c r="A1" i="53110"/>
  <c r="A1" i="53094"/>
  <c r="J4" i="53045" l="1"/>
  <c r="F63" i="53099"/>
  <c r="F72" i="53099"/>
  <c r="F68" i="53099"/>
  <c r="F51" i="53099"/>
  <c r="F30" i="53100"/>
  <c r="F23" i="53100"/>
  <c r="B16" i="53099"/>
  <c r="B97" i="53099" s="1"/>
  <c r="I5" i="53045"/>
  <c r="F80" i="53099"/>
  <c r="F78" i="53099"/>
  <c r="F85" i="53099"/>
  <c r="F82" i="53099"/>
  <c r="F83" i="53099"/>
  <c r="F81" i="53099"/>
  <c r="F88" i="53099"/>
  <c r="F31" i="53099"/>
  <c r="F38" i="53099"/>
  <c r="D16" i="53099"/>
  <c r="D97" i="53099" s="1"/>
  <c r="F19" i="53100"/>
  <c r="F73" i="53099"/>
  <c r="F76" i="53099"/>
  <c r="F79" i="53099"/>
  <c r="F75" i="53099"/>
  <c r="F84" i="53099"/>
  <c r="F89" i="53099"/>
  <c r="F86" i="53099"/>
  <c r="F74" i="53099"/>
  <c r="F87" i="53099"/>
  <c r="F55" i="53099"/>
  <c r="F66" i="53099"/>
  <c r="F58" i="53099"/>
  <c r="F53" i="53099"/>
  <c r="F59" i="53099"/>
  <c r="F65" i="53099"/>
  <c r="F52" i="53099"/>
  <c r="F56" i="53099"/>
  <c r="F61" i="53099"/>
  <c r="F57" i="53099"/>
  <c r="F54" i="53099"/>
  <c r="F62" i="53099"/>
  <c r="F67" i="53099"/>
  <c r="F60" i="53099"/>
  <c r="F64" i="53099"/>
  <c r="F24" i="53099"/>
  <c r="D75" i="53100"/>
  <c r="F43" i="53099"/>
  <c r="F26" i="53099"/>
  <c r="F39" i="53099"/>
  <c r="F33" i="53099"/>
  <c r="F27" i="53099"/>
  <c r="F44" i="53099"/>
  <c r="F35" i="53099"/>
  <c r="F34" i="53099"/>
  <c r="F30" i="53099"/>
  <c r="F40" i="53099"/>
  <c r="F32" i="53099"/>
  <c r="D96" i="53099"/>
  <c r="B69" i="53099"/>
  <c r="D76" i="53100"/>
  <c r="B72" i="53099"/>
  <c r="D102" i="53100" s="1"/>
  <c r="D77" i="53100"/>
  <c r="D78" i="53100"/>
  <c r="F42" i="53099"/>
  <c r="F28" i="53099"/>
  <c r="F25" i="53099"/>
  <c r="F36" i="53099"/>
  <c r="F29" i="53099"/>
  <c r="D95" i="53099"/>
  <c r="F37" i="53099"/>
  <c r="F41" i="53099"/>
  <c r="F20" i="53100"/>
  <c r="F28" i="53100"/>
  <c r="F27" i="53100"/>
  <c r="D98" i="53099"/>
  <c r="F26" i="53100"/>
  <c r="F25" i="53100"/>
  <c r="F24" i="53100"/>
  <c r="F21" i="53100"/>
  <c r="F22" i="53100"/>
  <c r="B98" i="53099"/>
  <c r="I2" i="53099"/>
  <c r="I2" i="53113"/>
  <c r="O2" i="53109"/>
  <c r="I2" i="53100"/>
  <c r="F2" i="53035"/>
  <c r="C4" i="53045"/>
  <c r="F2" i="53053"/>
  <c r="C4" i="53108"/>
  <c r="H2" i="53111"/>
  <c r="F69" i="53099" l="1"/>
  <c r="D79" i="53100"/>
  <c r="AB72" i="53099"/>
  <c r="B73" i="53099"/>
  <c r="D103" i="53100" s="1"/>
  <c r="F45" i="53099"/>
  <c r="AB73" i="53099" l="1"/>
  <c r="B74" i="53099"/>
  <c r="AB74" i="53099" l="1"/>
  <c r="B75" i="53099"/>
  <c r="AB75" i="53099" l="1"/>
  <c r="B76" i="53099"/>
  <c r="AB76" i="53099" l="1"/>
  <c r="B77" i="53099"/>
  <c r="AB77" i="53099" l="1"/>
  <c r="B78" i="53099"/>
  <c r="AB78" i="53099" l="1"/>
  <c r="B79" i="53099"/>
  <c r="D109" i="53100" s="1"/>
  <c r="AB79" i="53099" l="1"/>
  <c r="B80" i="53099"/>
  <c r="D19" i="53100" s="1"/>
  <c r="AB80" i="53099" l="1"/>
  <c r="B81" i="53099"/>
  <c r="D111" i="53100" s="1"/>
  <c r="AB81" i="53099" l="1"/>
  <c r="B82" i="53099"/>
  <c r="D20" i="53100" s="1"/>
  <c r="AB82" i="53099" l="1"/>
  <c r="B83" i="53099"/>
  <c r="D113" i="53100" s="1"/>
  <c r="AB83" i="53099" l="1"/>
  <c r="B84" i="53099"/>
  <c r="D21" i="53100" s="1"/>
  <c r="AB84" i="53099" l="1"/>
  <c r="B85" i="53099"/>
  <c r="D22" i="53100" s="1"/>
  <c r="D34" i="53100" l="1"/>
  <c r="AB85" i="53099"/>
  <c r="B86" i="53099"/>
  <c r="D23" i="53100" s="1"/>
  <c r="AB86" i="53099" l="1"/>
  <c r="B87" i="53099"/>
  <c r="D24" i="53100" s="1"/>
  <c r="D33" i="53100" l="1"/>
  <c r="AB87" i="53099"/>
  <c r="B88" i="53099"/>
  <c r="D25" i="53100" s="1"/>
  <c r="AB88" i="53099" l="1"/>
  <c r="B89" i="53099"/>
  <c r="D26" i="53100" s="1"/>
  <c r="AB89" i="53099" l="1"/>
  <c r="B90" i="53099"/>
  <c r="B91" i="53099"/>
  <c r="D28" i="53100" s="1"/>
  <c r="D27" i="53100" l="1"/>
  <c r="AB90" i="53099"/>
  <c r="B92" i="53099"/>
  <c r="D29" i="53100" s="1"/>
  <c r="D30" i="53100" l="1"/>
  <c r="AB91" i="5309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<sst xmlns="http://schemas.openxmlformats.org/spreadsheetml/2006/main" count="2020" uniqueCount="746">
  <si>
    <t>Index of Forms and Charts</t>
  </si>
  <si>
    <t>FORMS</t>
  </si>
  <si>
    <t>Description</t>
  </si>
  <si>
    <t>CHARTS</t>
  </si>
  <si>
    <t>Launch Meeting/Planning Forms</t>
  </si>
  <si>
    <t>Cumulative Earned Value</t>
  </si>
  <si>
    <t>Cumulative Planned vs. earned  vs. projected earned value</t>
  </si>
  <si>
    <t>Use these forms to plan a new project</t>
  </si>
  <si>
    <t>Earned Value per Week</t>
  </si>
  <si>
    <t xml:space="preserve"> Planned, earned, and  projected value per week</t>
  </si>
  <si>
    <t>Project</t>
  </si>
  <si>
    <t>Project startup and summary form</t>
  </si>
  <si>
    <t>Cumulative Plan vs. Actual Hours</t>
  </si>
  <si>
    <t>Cumulative planned vs. actual hours per week</t>
  </si>
  <si>
    <t>Team</t>
  </si>
  <si>
    <t>Team member summary</t>
  </si>
  <si>
    <t>Plan vs. Actual Hours per Week</t>
  </si>
  <si>
    <t>Planned vs. actual hours per week</t>
  </si>
  <si>
    <t>Roles</t>
  </si>
  <si>
    <t>TSPe role assignments</t>
  </si>
  <si>
    <t>Percent Defect Free</t>
  </si>
  <si>
    <t>Percent of components that are defect free by phase</t>
  </si>
  <si>
    <t>Goals</t>
  </si>
  <si>
    <t>Team goals</t>
  </si>
  <si>
    <t>Cumulative Defects Removed by Phase</t>
  </si>
  <si>
    <t>Cumulative defects removed by phase for each component</t>
  </si>
  <si>
    <t>SUMS</t>
  </si>
  <si>
    <t>Size summary</t>
  </si>
  <si>
    <t>Defects Removed by Phase</t>
  </si>
  <si>
    <t>Defects removed by phase for each component</t>
  </si>
  <si>
    <t>Task</t>
  </si>
  <si>
    <t>Task plan template</t>
  </si>
  <si>
    <t>Defect Density by Phase</t>
  </si>
  <si>
    <t>Defects per KLOC by phase for each component</t>
  </si>
  <si>
    <t>Schedule</t>
  </si>
  <si>
    <t>Schedule plan template</t>
  </si>
  <si>
    <t>Review Rates</t>
  </si>
  <si>
    <t>Inspection and review rates for each component</t>
  </si>
  <si>
    <t>Phase Yield</t>
  </si>
  <si>
    <t>Phase yield for each component</t>
  </si>
  <si>
    <t>Process Yield</t>
  </si>
  <si>
    <t>Process yield for each component</t>
  </si>
  <si>
    <t>Quality Profile</t>
  </si>
  <si>
    <t>Five point quality profile for each component</t>
  </si>
  <si>
    <t>Time in Phase%</t>
  </si>
  <si>
    <t>Percentage of time spent in each phase</t>
  </si>
  <si>
    <t>Defects Injected%</t>
  </si>
  <si>
    <t>Percentage of defects injected in each phase</t>
  </si>
  <si>
    <t>Defects Removed%</t>
  </si>
  <si>
    <t>Percentage of defects removed in each phase</t>
  </si>
  <si>
    <t>Weekly Meeting/Tracking Forms</t>
  </si>
  <si>
    <t>Use these forms for gathering data and tracking</t>
  </si>
  <si>
    <t>TimeLog</t>
  </si>
  <si>
    <t>Time recording Log</t>
  </si>
  <si>
    <t>DefectLog</t>
  </si>
  <si>
    <t>Defect recording log</t>
  </si>
  <si>
    <t>Weekly meeting status report</t>
  </si>
  <si>
    <t>Quality actuals for system and components</t>
  </si>
  <si>
    <t>Resource actuals for system and components</t>
  </si>
  <si>
    <t>Defects injected/removed for system and components</t>
  </si>
  <si>
    <t>Standards</t>
  </si>
  <si>
    <t>Phases</t>
  </si>
  <si>
    <t>TSPe process phase standard</t>
  </si>
  <si>
    <t>DefectTypes</t>
  </si>
  <si>
    <t>Defect type standard</t>
  </si>
  <si>
    <t>Strategy Development and Planning</t>
  </si>
  <si>
    <t>TSPi Process : Step</t>
  </si>
  <si>
    <t>WHO</t>
  </si>
  <si>
    <t>TOOL INSTRUCTIONS</t>
  </si>
  <si>
    <t>FORM</t>
  </si>
  <si>
    <t>Before STRAT1</t>
  </si>
  <si>
    <t>Team Leader</t>
  </si>
  <si>
    <t>Fill out the project information on the Project worksheet (Name, Team name, Project name, Start Date, Instructor, Cycle).</t>
  </si>
  <si>
    <t>Project!Name</t>
  </si>
  <si>
    <t>Enter the team member names, initials, phone numbers, e-mail addresses, and filenames for the team members workbooks in the Team worksheet.</t>
  </si>
  <si>
    <t>Team!B2</t>
  </si>
  <si>
    <t>Enter the role assignments on the Roles worksheet.</t>
  </si>
  <si>
    <t>Roles!B2</t>
  </si>
  <si>
    <t>STRAT: Establish Team Goals</t>
  </si>
  <si>
    <t>Planning Manager</t>
  </si>
  <si>
    <t>Enter the team goals on the Goals worksheet</t>
  </si>
  <si>
    <t>Goals!B3</t>
  </si>
  <si>
    <t>STRAT1: Produce the Size Estimate</t>
  </si>
  <si>
    <t>Enter on the SUMS worksheet, the names and size estimates of all assemblies and parts for this cycle.</t>
  </si>
  <si>
    <t>SUMS!B8</t>
  </si>
  <si>
    <t>PLAN1: Produce the Task Plan</t>
  </si>
  <si>
    <t>Click the Generate Task List button to create a default task list.</t>
  </si>
  <si>
    <t>Task!A8</t>
  </si>
  <si>
    <t>Revise the task list adding or deleting tasks as necessary. Then for each task, estimate the size where appropriate,  the time, and the time for each engineer assigned to the task.</t>
  </si>
  <si>
    <t>PLAN1: Produce the Schedule Plan</t>
  </si>
  <si>
    <t>Enter hours per week in the Schedule template. Hours per week are based on the total hours for the team for each week in the schedule.</t>
  </si>
  <si>
    <t>Schedule!C8</t>
  </si>
  <si>
    <t>Click the Update Task and Schedule Plan button on the Task Worksheet to generate a schedule.</t>
  </si>
  <si>
    <t>PLAN1: Quality Plan</t>
  </si>
  <si>
    <t>Before creating the quality plan, review the quality standard in the textbook.</t>
  </si>
  <si>
    <t>Quality/Process Manager</t>
  </si>
  <si>
    <t xml:space="preserve">Enter the planned defect injection rates for each phase on the SUMQ worksheet. </t>
  </si>
  <si>
    <t>SUMQ!D82</t>
  </si>
  <si>
    <t>Enter estimated phase yields for each phase.</t>
  </si>
  <si>
    <t>SUMQ!D55</t>
  </si>
  <si>
    <t>Review the calculated defect removal rates and defect densities (Defects/KLOC) against the Quality Standard. If necessary, adjust planned time (Task worksheet), defect injection rates (SUMQ), or defect removal yields (SUMQ).</t>
  </si>
  <si>
    <t>PLAN: Balance Workload</t>
  </si>
  <si>
    <t>Make 1 copy of the team workbook for each engineer. Use the filename entered on the Team worksheet (Workbook Filename). Click the Make copies... button to create the copies automatically.</t>
  </si>
  <si>
    <t>Each engineer</t>
  </si>
  <si>
    <t>Revise the tasks in the Task worksheet  to reflect the individual engineers workload (e.g. delete task not assigned to you, and where you share an assignment with other engineers, set their planned hours to zero).</t>
  </si>
  <si>
    <t>Revise the schedule plan on the Schedule worksheet to reflect your available hours per week.</t>
  </si>
  <si>
    <t>Load the engineers' individual worksheets and the consolidated team plan workbook into the same folder. Open the consolidated team plan workbook. Click the consolidate plan button on the Team worksheet to build a consolidated plan</t>
  </si>
  <si>
    <t>All team members</t>
  </si>
  <si>
    <t>If necessary, reassign tasks to balance the workload and repeat the previous 3 steps until a balanced plan is achieved. If planned times for any task change, review the quality plan and revise it if necessary.</t>
  </si>
  <si>
    <t>Weekly Tracking</t>
  </si>
  <si>
    <t>STRAT, PLAN, REQ, DES, IMP, TEST, PM</t>
  </si>
  <si>
    <t>During all TSPi phases, use the time log to record data on each task. Include the assembly and phase for each task, the date, start time, interrupt time, stop time, and comments.</t>
  </si>
  <si>
    <t>LOGT!A7</t>
  </si>
  <si>
    <t>REQ, DES, IMP, TEST</t>
  </si>
  <si>
    <t>During TSPi phases REQ, DES, IMP, and TEST, use the defect log to record data on each defect. Include the date, number, type, assembly, phase injected, phase removed, fix time, fix reference, and description</t>
  </si>
  <si>
    <t>LOGD!A7</t>
  </si>
  <si>
    <t>Weekly</t>
  </si>
  <si>
    <t>Click the Update Project button on the Project worksheet to update individual plans. Print the Task and Schedule worksheets.</t>
  </si>
  <si>
    <t>Print the Task worksheet.</t>
  </si>
  <si>
    <t>Print the Schedule worksheet.</t>
  </si>
  <si>
    <t>Prepare a Week report. The  worksheet Week includes the  planning summary information required for the week report.</t>
  </si>
  <si>
    <t>Week!C2</t>
  </si>
  <si>
    <t>Send a copy of your workbook to the planning manager for use in preparing the team's consolidated weekly report.</t>
  </si>
  <si>
    <t>Update consolidated team plan with the current week's data and prepare status reports for the weekly meeting.</t>
  </si>
  <si>
    <t>Load the individual engineers workbooks and the consolidated team workbook into the same folder. Open the consolidated team workbook. Click the Consolidate Plans button on Team worksheet to update consolidated team plan with the current week's data.</t>
  </si>
  <si>
    <t>Team!A2</t>
  </si>
  <si>
    <t>Select the Project worksheet and click the update project button before printing status reports for the weekly meeting.</t>
  </si>
  <si>
    <t>Select the Project worksheet, select the assembly SYSTEM, then select and print the following charts:
-Earned Value
-Plan vs. Actual Hours</t>
  </si>
  <si>
    <t>Weekly during implementation and testing phases</t>
  </si>
  <si>
    <t>Select the Project worksheet, select the assembly SYSTEM, then select and print the following charts:
-Defect Removal Profile
-Quality Profile
-Percent Defect Free</t>
  </si>
  <si>
    <t>Project and Cycle Postmortem</t>
  </si>
  <si>
    <t>PM</t>
  </si>
  <si>
    <t>Follow the weekly tracking instructions to prepare and print copies of the final task, schedule, and week reports.</t>
  </si>
  <si>
    <t>See weekly tracking instructions</t>
  </si>
  <si>
    <t>Select the Project worksheet and click the export button to save a copy of your data for the cycle.</t>
  </si>
  <si>
    <t>Select the SUMP worksheet and print a SUMP form for the SYSTEM and each assembly</t>
  </si>
  <si>
    <t>SUMP!B2</t>
  </si>
  <si>
    <t>Select the SUMQ worksheet and print a SUMQ form for the SYSTEM and each assembly</t>
  </si>
  <si>
    <t>SUMQ!B2</t>
  </si>
  <si>
    <t>Select the SUMS worksheet and print a SUMS form</t>
  </si>
  <si>
    <t>Select the Project worksheet and click the export button to save a copy of the consolidated team data for the cycle.</t>
  </si>
  <si>
    <t>TSP Process : Step</t>
  </si>
  <si>
    <t>Launch Meeting 2</t>
  </si>
  <si>
    <t>Launch Coach or Planning Manager</t>
  </si>
  <si>
    <t>Enter the role assignments on the Roles worksheet. (Optional)</t>
  </si>
  <si>
    <t>Enter the team goals on the Goals worksheet. (Optional)</t>
  </si>
  <si>
    <t>Goals!A3</t>
  </si>
  <si>
    <t>Launch Meeting 3</t>
  </si>
  <si>
    <t>Enter all the software assemblies identified during this meeting. Enter the name, assembly/part flag, part of, and size measure. Requirements and High-Level Design documents may also be entered on SUMS.</t>
  </si>
  <si>
    <t>Launch Meeting 4</t>
  </si>
  <si>
    <t>Enter on the SUMS worksheet, the size estimates of all software assemblies.</t>
  </si>
  <si>
    <t>Click the Generate Task List button to create an initial task list based on the assemblies on SUMS.</t>
  </si>
  <si>
    <t>Revise the initial task list by adding or deleting tasks as necessary. Then complete the estimate for each task by entering a size estimate, size measure, rate in units per hour, the estimated hours, and the number of engineers assigned to the task.</t>
  </si>
  <si>
    <t>Enter hours per week for the team on the Schedule template. Hours per week are based on the total hours for the team for each week in the schedule.</t>
  </si>
  <si>
    <t>Click the Update Task and Schedule Plan button on the Task Worksheet to generate the overall plan.</t>
  </si>
  <si>
    <t>Launch Meeting 5</t>
  </si>
  <si>
    <t>Before creating the quality plan, review the quality guidelines in the TSP Launch Notebook</t>
  </si>
  <si>
    <t>Launch Coach, Planning Manager, or Quality Manager</t>
  </si>
  <si>
    <t>Launch Meeting 6</t>
  </si>
  <si>
    <t>Enter the initials of the team member(s) assigned to each task in the resources column on worksheet Task.</t>
  </si>
  <si>
    <t>Enter the initials of the team member that owns each leaf assembly in the owner column on worksheet SUMS. Note that plan and actual size are copied from the owner's workbook to the team workbook during consolidation, so each leaf assembly MUST have an owner.</t>
  </si>
  <si>
    <t>Make 1 copy of the team workbook for the consolidated team plan. Make 1 copy of the team workbook for each engineer. Use the filename entered on the Team worksheet (Workbook Filename). Click the Make copies... button to create the engineer's copies automatically.</t>
  </si>
  <si>
    <t>Revise the tasks in the Task worksheet  to reflect the individual engineers workload (e.g. delete task not assigned to you, and where you share an assignment with other engineers, set the column Number of Engineers to 1).</t>
  </si>
  <si>
    <t>Click the Update Task and Schedule Plan button on the Task Worksheet to generate your individual plan. Repeat the previous two steps until you are satisfied with the plan</t>
  </si>
  <si>
    <t>Launch Meeting 7</t>
  </si>
  <si>
    <t>Enter the team risks on the IRTL worksheet. (Optional)</t>
  </si>
  <si>
    <t>IRTL!B7</t>
  </si>
  <si>
    <t>All</t>
  </si>
  <si>
    <t>While working, use the time log to record time spent on each task. Include the assembly and phase for each task, the date, start time, interrupt time, stop time, and comments.</t>
  </si>
  <si>
    <t>While working, use the defect log to record each defect found. Include the date, number, type, assembly, phase injected, phase removed, fix time, fix reference, and description</t>
  </si>
  <si>
    <t>While working, use the issue/risk tracking log (IRTL)  to record new issues and risks or to change status of existing issues or risks.</t>
  </si>
  <si>
    <t>To review status against your plan click the Update Project button on the project worksheet.</t>
  </si>
  <si>
    <t>Project!B3</t>
  </si>
  <si>
    <t>Ensure that the completion data for all completed tasks has been entered, and all size, time, and defect data for the week have been entered.</t>
  </si>
  <si>
    <t>Review the task on worksheet Task and move all organize them into the following order.
1-completed tasks
2-tasks planned for the next two weeks
3-remaining tasks</t>
  </si>
  <si>
    <t>Schedule!A8</t>
  </si>
  <si>
    <t>Prepare a weekly issue/risk report. The  worksheet IRWeek contains the information for this reportt.</t>
  </si>
  <si>
    <t>IRWeek!C2</t>
  </si>
  <si>
    <t>Team!A3</t>
  </si>
  <si>
    <t>Project and Phase Postmortem</t>
  </si>
  <si>
    <t>Select the IRTL worksheet and print a copy of  all team issues and risk</t>
  </si>
  <si>
    <t>Select the Project worksheet and click the export button to save a copy of the consolidated team data for the phase or project.</t>
  </si>
  <si>
    <t>General</t>
  </si>
  <si>
    <t xml:space="preserve"> - If your team does not have historical data, use these guidelines as standard planning factors.
 - In all cases, use your judgement.  If some guideline does not fit your case, use your best estimate instead.</t>
  </si>
  <si>
    <t>TSP Plans</t>
  </si>
  <si>
    <t xml:space="preserve">Overall plan - produced first by the total team and later adjusted to conform to the balanced plan.
Bottom-up plan - produced by each engineer for the next phase
Balanced plan - the next phase plan after load balancing </t>
  </si>
  <si>
    <t>Requirements</t>
  </si>
  <si>
    <t xml:space="preserve"> - The Requirements process depends heavily on The nature of The project, so no General guidelines are given.
 - In General, expect that all input materials will have be to inspected and substantially reworked.</t>
  </si>
  <si>
    <t>Requirements Inspections</t>
  </si>
  <si>
    <t xml:space="preserve"> - The QUAL guideline provides a General factor to use In determining The time needed for The Requirements inspection.
- Again, If this number is unrealistic for your project and situation, use your best estimate.</t>
  </si>
  <si>
    <t>High-Level Design</t>
  </si>
  <si>
    <t xml:space="preserve"> - The High-Level Design process is highly variable and The time depends principally on The size, complexity, and General nature of The system, so no General guideline is given.
 - Without prior data, most teams substantially underestimate The time High-Level Design will require.</t>
  </si>
  <si>
    <t>Implementation Phase</t>
  </si>
  <si>
    <t>Implementation covers detailed design through unit test.
 - Calculate total implementation time from LOC/hour rates.
- New or large modifications: about 10 LOC per hour.
- Small changes to large systems: about 5 LOC per hour.
 - Pick a number that seems appropriate for your project.
- Maintenance fixes, use an average rate: 5 and 20 hours per fix, depending on complexity and degree of testing.</t>
  </si>
  <si>
    <t>Implementation Allocation</t>
  </si>
  <si>
    <t>In estimating the implementation phases, 
 - Make an overall estimate based on LOC/hour rates.
 - Then use these percentages to Calculate The phase times.</t>
  </si>
  <si>
    <t>Detailed design - 22.1%</t>
  </si>
  <si>
    <t xml:space="preserve">Detailed design review - 11.1% </t>
  </si>
  <si>
    <t>Detailed design inspection - 8.8%</t>
  </si>
  <si>
    <t>Coding - 20.0%</t>
  </si>
  <si>
    <t>Code review - 10.0%</t>
  </si>
  <si>
    <t>Compiling - 3.4%</t>
  </si>
  <si>
    <t xml:space="preserve">Code inspection - 8.8% </t>
  </si>
  <si>
    <t>Unit test - 15.8%</t>
  </si>
  <si>
    <t>Integration and System Test</t>
  </si>
  <si>
    <t>For these phases, estimate the defect-free test time and add 5 hours per defect in integration and 10 hours in system test</t>
  </si>
  <si>
    <t>Measure</t>
  </si>
  <si>
    <t>Goal</t>
  </si>
  <si>
    <t>Comments</t>
  </si>
  <si>
    <t>Percent Defect Free (PDF)</t>
  </si>
  <si>
    <t xml:space="preserve">   Compile</t>
  </si>
  <si>
    <t>&gt; 10%</t>
  </si>
  <si>
    <t xml:space="preserve">   Unit Test</t>
  </si>
  <si>
    <t>&gt; 50%</t>
  </si>
  <si>
    <t xml:space="preserve">   Integration Test</t>
  </si>
  <si>
    <t>&gt; 70%</t>
  </si>
  <si>
    <t xml:space="preserve">   System Test</t>
  </si>
  <si>
    <t>&gt; 90%</t>
  </si>
  <si>
    <t>Defects/KLOC:</t>
  </si>
  <si>
    <t xml:space="preserve">   Total defects injected</t>
  </si>
  <si>
    <t>75 - 150</t>
  </si>
  <si>
    <t xml:space="preserve">If not PSP trained, use 100 to 200. </t>
  </si>
  <si>
    <t>&lt; 10</t>
  </si>
  <si>
    <t>All defects</t>
  </si>
  <si>
    <t>&lt; 5</t>
  </si>
  <si>
    <t>All major defects (in source LOC)</t>
  </si>
  <si>
    <t>&lt; 0.5</t>
  </si>
  <si>
    <t>&lt; 0.2</t>
  </si>
  <si>
    <t>Defect Ratios</t>
  </si>
  <si>
    <t xml:space="preserve">   Detailed design review defects /unit test defects</t>
  </si>
  <si>
    <t>&gt; 2.0</t>
  </si>
  <si>
    <t xml:space="preserve">   Code review defects/compile defects</t>
  </si>
  <si>
    <t>Development Time Ratios</t>
  </si>
  <si>
    <t xml:space="preserve">   Requirements inspection/requirements time</t>
  </si>
  <si>
    <t>&gt; 0.25</t>
  </si>
  <si>
    <t>Elicitation in requirements time</t>
  </si>
  <si>
    <t xml:space="preserve">   High-level design inspection/high-level design time</t>
  </si>
  <si>
    <t>&gt; 0.5</t>
  </si>
  <si>
    <t>Design work only, not studies</t>
  </si>
  <si>
    <t xml:space="preserve">   Detailed design/coding time</t>
  </si>
  <si>
    <t>&gt; 1.00</t>
  </si>
  <si>
    <t xml:space="preserve">   Detailed design review/detailed design time</t>
  </si>
  <si>
    <t xml:space="preserve">   Code review/code time</t>
  </si>
  <si>
    <t>Review and Inspection Rates</t>
  </si>
  <si>
    <t xml:space="preserve">   Requirements pages/hour</t>
  </si>
  <si>
    <t>&lt; 2</t>
  </si>
  <si>
    <t>Single-spaced text pages</t>
  </si>
  <si>
    <t xml:space="preserve">   High-level design pages/hour</t>
  </si>
  <si>
    <t>Formatted design logic</t>
  </si>
  <si>
    <t xml:space="preserve">   Detailed design text lines/hour</t>
  </si>
  <si>
    <t>&lt; 100</t>
  </si>
  <si>
    <t>Pseudocode ~ equal to 3 LOC</t>
  </si>
  <si>
    <t xml:space="preserve">   Code LOC/hour</t>
  </si>
  <si>
    <t>&lt; 200</t>
  </si>
  <si>
    <t>Logical LOC</t>
  </si>
  <si>
    <t>Defect Injection and Removal Rates</t>
  </si>
  <si>
    <t xml:space="preserve">   Requirements defects injected/hour</t>
  </si>
  <si>
    <t xml:space="preserve">Only major defects </t>
  </si>
  <si>
    <t xml:space="preserve">   Requirements inspection defects removed/hour</t>
  </si>
  <si>
    <t xml:space="preserve">   High-level design defects injected/hour</t>
  </si>
  <si>
    <t>Only major defects</t>
  </si>
  <si>
    <t xml:space="preserve">   High-level design inspection defects removed/hour</t>
  </si>
  <si>
    <t xml:space="preserve">   Detailed design defects injected/hour</t>
  </si>
  <si>
    <t>Only design defects</t>
  </si>
  <si>
    <t xml:space="preserve">   Detailed design review defects removed/hour</t>
  </si>
  <si>
    <t xml:space="preserve">   Detailed design inspection defects removed/hour</t>
  </si>
  <si>
    <t xml:space="preserve">   Code defects injected/hour</t>
  </si>
  <si>
    <t xml:space="preserve">   Code review defects removed/hour</t>
  </si>
  <si>
    <t>All defects in source LOC</t>
  </si>
  <si>
    <t xml:space="preserve">   Compile defects injected/hour</t>
  </si>
  <si>
    <t>Any defects</t>
  </si>
  <si>
    <t xml:space="preserve">   Code inspection defects removed/hour</t>
  </si>
  <si>
    <t xml:space="preserve">   Unit test defects injected/hour</t>
  </si>
  <si>
    <t>Phase Yields</t>
  </si>
  <si>
    <t xml:space="preserve">   Team requirements inspections</t>
  </si>
  <si>
    <t>~ 70%</t>
  </si>
  <si>
    <t>Not counting editorial comments</t>
  </si>
  <si>
    <t xml:space="preserve">   Design reviews and inspections</t>
  </si>
  <si>
    <t>Using state analysis, trace tables</t>
  </si>
  <si>
    <t xml:space="preserve">   Code reviews and inspections</t>
  </si>
  <si>
    <t>Using personal checklists</t>
  </si>
  <si>
    <t xml:space="preserve">   Compiling</t>
  </si>
  <si>
    <t>~ 50%</t>
  </si>
  <si>
    <t>90+ % of syntax defects</t>
  </si>
  <si>
    <t xml:space="preserve">   Unit test - at 5 or less defects/KLOC</t>
  </si>
  <si>
    <t>~ 90%</t>
  </si>
  <si>
    <t>For high defects/KLOC - 50-75%</t>
  </si>
  <si>
    <t xml:space="preserve">   Integration and system test - at &lt; 1.0 defects/KLOC</t>
  </si>
  <si>
    <t>~ 80%</t>
  </si>
  <si>
    <t>For high defects/KLOC - 30-65%</t>
  </si>
  <si>
    <t xml:space="preserve">   Acceptance test - at &lt; 1.0 defects/KLOC</t>
  </si>
  <si>
    <t>~ 65%</t>
  </si>
  <si>
    <t>For high defects/KLOC - 30%</t>
  </si>
  <si>
    <t xml:space="preserve">   Before compile</t>
  </si>
  <si>
    <t>&gt;75%</t>
  </si>
  <si>
    <t>Assuming sound design methods</t>
  </si>
  <si>
    <t xml:space="preserve">   Before unit test</t>
  </si>
  <si>
    <t>&gt; 85%</t>
  </si>
  <si>
    <t>Assuming logic checks in reviews</t>
  </si>
  <si>
    <t xml:space="preserve">   Before integration test</t>
  </si>
  <si>
    <t>&gt; 97.5%</t>
  </si>
  <si>
    <t>For small products, 1 defect max.</t>
  </si>
  <si>
    <t xml:space="preserve">   Before system test</t>
  </si>
  <si>
    <t>&gt; 99%</t>
  </si>
  <si>
    <t>TSPi</t>
  </si>
  <si>
    <t xml:space="preserve"> - Project Summary</t>
  </si>
  <si>
    <t>Plan</t>
  </si>
  <si>
    <t>Actual</t>
  </si>
  <si>
    <t>Phase</t>
  </si>
  <si>
    <t>%</t>
  </si>
  <si>
    <t>Design/Code Time</t>
  </si>
  <si>
    <t>Management and Miscellaneous</t>
  </si>
  <si>
    <t>Name</t>
  </si>
  <si>
    <t>Isaac Diaz Perez</t>
  </si>
  <si>
    <t>Date</t>
  </si>
  <si>
    <t>Code Review Time</t>
  </si>
  <si>
    <t>Launch and Strategy</t>
  </si>
  <si>
    <t>Catalogo Virtual TSP - POLI</t>
  </si>
  <si>
    <t>Start Date</t>
  </si>
  <si>
    <t>Compile Defects/KLOC</t>
  </si>
  <si>
    <t>Planning</t>
  </si>
  <si>
    <t>TSP-GRUPO B02-SUBGRUPO 3</t>
  </si>
  <si>
    <t>Instructor</t>
  </si>
  <si>
    <t>Natalia Martinez Rojas</t>
  </si>
  <si>
    <t>Weeks</t>
  </si>
  <si>
    <t>Unit Test Ddefects/KLOC</t>
  </si>
  <si>
    <t>Assembly</t>
  </si>
  <si>
    <t>Cycle</t>
  </si>
  <si>
    <t>Design Review Time</t>
  </si>
  <si>
    <t>System Test Plan</t>
  </si>
  <si>
    <t xml:space="preserve">Version: </t>
  </si>
  <si>
    <t xml:space="preserve">TSPi.20041202. ©2004 Addison Wesley . </t>
  </si>
  <si>
    <t>Today's Date Override</t>
  </si>
  <si>
    <t>COMPILE</t>
  </si>
  <si>
    <t>REQ Inspection</t>
  </si>
  <si>
    <t>CODEINSP</t>
  </si>
  <si>
    <t>UT</t>
  </si>
  <si>
    <t>Integration Test Plan</t>
  </si>
  <si>
    <t>IT</t>
  </si>
  <si>
    <t>HLD Inspection</t>
  </si>
  <si>
    <t>ST</t>
  </si>
  <si>
    <t>Detailed Design</t>
  </si>
  <si>
    <t>1 Year</t>
  </si>
  <si>
    <t>DLD Review</t>
  </si>
  <si>
    <t>Product Life</t>
  </si>
  <si>
    <t>Test Development</t>
  </si>
  <si>
    <t>QPI</t>
  </si>
  <si>
    <t>DLD Inspection</t>
  </si>
  <si>
    <t>Code</t>
  </si>
  <si>
    <t>Code Review</t>
  </si>
  <si>
    <t>Compile</t>
  </si>
  <si>
    <t>Code Inspection</t>
  </si>
  <si>
    <t>Unit Test</t>
  </si>
  <si>
    <t>Build and Integration Test</t>
  </si>
  <si>
    <t>System Test</t>
  </si>
  <si>
    <t>Documentation</t>
  </si>
  <si>
    <t>Postmortem</t>
  </si>
  <si>
    <t>ID</t>
  </si>
  <si>
    <t>Initials</t>
  </si>
  <si>
    <t>Phone</t>
  </si>
  <si>
    <t>e-mail</t>
  </si>
  <si>
    <t>Workbook Filename</t>
  </si>
  <si>
    <t>Planned Tasks</t>
  </si>
  <si>
    <t>Planned Task Hours</t>
  </si>
  <si>
    <t>Planned Schedule Weeks</t>
  </si>
  <si>
    <t>idiazppe@poligran.edu.co</t>
  </si>
  <si>
    <t>Gustavo Chacon Mendoza</t>
  </si>
  <si>
    <t>galchacon@poligran.edu.co</t>
  </si>
  <si>
    <t>Juan Cubillos Betancourth</t>
  </si>
  <si>
    <t>jancubillos@poligran.edu.co</t>
  </si>
  <si>
    <t>Michael Ciprian Florez</t>
  </si>
  <si>
    <t>mdaciprianf@poligran.edu.co</t>
  </si>
  <si>
    <t>Nicolás Clavijo Ibagon</t>
  </si>
  <si>
    <t>nclavijoi@poligran.edu.co</t>
  </si>
  <si>
    <t>Sergio Contreras Rodriguez</t>
  </si>
  <si>
    <t>salcontrerasr@poligran.edu.co</t>
  </si>
  <si>
    <t>Measures</t>
  </si>
  <si>
    <t>Tracking</t>
  </si>
  <si>
    <t>Stakeholders</t>
  </si>
  <si>
    <t>Who</t>
  </si>
  <si>
    <t>When</t>
  </si>
  <si>
    <t>Instructor / Usuario Final</t>
  </si>
  <si>
    <t>Implementar los 6 módulos exigidos en el trabajo</t>
  </si>
  <si>
    <t>6 / 6 módulos funcionales</t>
  </si>
  <si>
    <t>JCB + GCM (Development Manager)</t>
  </si>
  <si>
    <t>Semana 7</t>
  </si>
  <si>
    <t>Usuario Final</t>
  </si>
  <si>
    <t>Catálogo con artículos suficientes para pruebas y demostración</t>
  </si>
  <si>
    <t>≥ 20 artículos cargados</t>
  </si>
  <si>
    <t>SCR (Support Manager)</t>
  </si>
  <si>
    <t>Semana 6</t>
  </si>
  <si>
    <t>Instructor / Equipo</t>
  </si>
  <si>
    <t>Mantener baja la densidad de defectos del sistema</t>
  </si>
  <si>
    <t>&lt; 5 defectos / KLOC</t>
  </si>
  <si>
    <t>NCI (Quality/Process Manager)</t>
  </si>
  <si>
    <t>Semana 8</t>
  </si>
  <si>
    <t>Líder de Equipo</t>
  </si>
  <si>
    <t>Controlar la desviación entre horas planeadas y reales</t>
  </si>
  <si>
    <t>Desviación &lt; 20 %</t>
  </si>
  <si>
    <t>MCF (Planning Manager)</t>
  </si>
  <si>
    <t>Reporte semanal</t>
  </si>
  <si>
    <t>Equipo Calidad</t>
  </si>
  <si>
    <t>Cobertura de pruebas unitarias en módulos críticos (registro, carrito, compra)</t>
  </si>
  <si>
    <t>≥ 70 % de cobertura</t>
  </si>
  <si>
    <t>Documentación TSP al día (actas, LOGT, LOGD, reportes)</t>
  </si>
  <si>
    <t>100 % de reuniones con acta; logs diligenciados semanalmente</t>
  </si>
  <si>
    <t>IDP (Team Leader) + MCF (Planning Manager)</t>
  </si>
  <si>
    <t>Cierre semanal</t>
  </si>
  <si>
    <t>Team Member Roles</t>
  </si>
  <si>
    <t>Design</t>
  </si>
  <si>
    <t>Implementation</t>
  </si>
  <si>
    <t>Integration and Test</t>
  </si>
  <si>
    <t>IDP</t>
  </si>
  <si>
    <t>Development Manager</t>
  </si>
  <si>
    <t>JCB</t>
  </si>
  <si>
    <t>GCM</t>
  </si>
  <si>
    <t>MCF</t>
  </si>
  <si>
    <t>NCI</t>
  </si>
  <si>
    <t>Support Manager</t>
  </si>
  <si>
    <t>SCR</t>
  </si>
  <si>
    <t>Process Manager</t>
  </si>
  <si>
    <t>Quality Manager</t>
  </si>
  <si>
    <t>Test Manager</t>
  </si>
  <si>
    <t>Program Size</t>
  </si>
  <si>
    <t>Total Requirements Pages (SRS)</t>
  </si>
  <si>
    <t>Total HLD Pages (SDS)</t>
  </si>
  <si>
    <t>Total Detailed Design Lines</t>
  </si>
  <si>
    <t>Base LOC (B)</t>
  </si>
  <si>
    <t>Deleted LOC (D)</t>
  </si>
  <si>
    <t>Modified LOC (M)</t>
  </si>
  <si>
    <t>Added LOC (A)</t>
  </si>
  <si>
    <t>Reused LOC (R)</t>
  </si>
  <si>
    <t>New and Changed LOC (N)</t>
  </si>
  <si>
    <t>Total LOC (T)</t>
  </si>
  <si>
    <t>Total New Reuse LOC</t>
  </si>
  <si>
    <t>Estimated Object LOC (E)</t>
  </si>
  <si>
    <t>Upper Prediction Interval (70%)</t>
  </si>
  <si>
    <t>Lower Prediction Interval (70%)</t>
  </si>
  <si>
    <t>Time in Phase (hours)</t>
  </si>
  <si>
    <t>Actual%</t>
  </si>
  <si>
    <t>Total</t>
  </si>
  <si>
    <t>Total Time UPI (70%)</t>
  </si>
  <si>
    <t>Total Time LPI (70%)</t>
  </si>
  <si>
    <t>Defects Injected</t>
  </si>
  <si>
    <t>Total Development Defects Injected</t>
  </si>
  <si>
    <t>Defects Removed</t>
  </si>
  <si>
    <t>Total Development Defects Removed</t>
  </si>
  <si>
    <t>Acceptance Test</t>
  </si>
  <si>
    <t>Summary</t>
  </si>
  <si>
    <t>LOC/Hour</t>
  </si>
  <si>
    <t>CPI (Cost-Performance Index)</t>
  </si>
  <si>
    <t>% Reuse</t>
  </si>
  <si>
    <t>% New Reuse</t>
  </si>
  <si>
    <t>SYSTEM Percent Defect Free</t>
  </si>
  <si>
    <t>Defects/Page</t>
  </si>
  <si>
    <t>Defects/KLOC</t>
  </si>
  <si>
    <t>Total Development</t>
  </si>
  <si>
    <t>Inspection/Review Rates</t>
  </si>
  <si>
    <t>A/FR</t>
  </si>
  <si>
    <t>Phase Yield Planning Guidelines</t>
  </si>
  <si>
    <t>Unit test - at &lt; 5 defects/KLOC</t>
  </si>
  <si>
    <t>Integration test at &lt; 1.0 defects/KLOC</t>
  </si>
  <si>
    <t>System test - at &lt; 1.0 defects/KLOC</t>
  </si>
  <si>
    <t>Acceptance test - at &lt; 1.0 defects/KLOC</t>
  </si>
  <si>
    <t>Process Yields</t>
  </si>
  <si>
    <r>
      <t xml:space="preserve">Defect Injection Rates </t>
    </r>
    <r>
      <rPr>
        <sz val="9"/>
        <rFont val="Arial"/>
        <family val="2"/>
      </rPr>
      <t>(Defects Injected Per Hour)</t>
    </r>
  </si>
  <si>
    <t>Defect Injection Rates Planning Guidelines</t>
  </si>
  <si>
    <t>Defect Removal Rates</t>
  </si>
  <si>
    <t>Planned Size</t>
  </si>
  <si>
    <t>Actual Size</t>
  </si>
  <si>
    <t>Planned Defects Injected</t>
  </si>
  <si>
    <t>Actual Defects Injected</t>
  </si>
  <si>
    <t>Planned Defects Removed</t>
  </si>
  <si>
    <t>Actual Defects Removed</t>
  </si>
  <si>
    <t>Planned Time</t>
  </si>
  <si>
    <t>Actual Time</t>
  </si>
  <si>
    <t>Assembly, Sub-Assembly, or Part Name</t>
  </si>
  <si>
    <t>(A)ssembly or (P)art</t>
  </si>
  <si>
    <t>Parent Assembly Name</t>
  </si>
  <si>
    <t>Owner</t>
  </si>
  <si>
    <t>Size Measure</t>
  </si>
  <si>
    <t xml:space="preserve">Base </t>
  </si>
  <si>
    <t xml:space="preserve">Deleted </t>
  </si>
  <si>
    <t xml:space="preserve">Modified </t>
  </si>
  <si>
    <t xml:space="preserve">Added </t>
  </si>
  <si>
    <t xml:space="preserve">Reused </t>
  </si>
  <si>
    <t xml:space="preserve">New and Changed </t>
  </si>
  <si>
    <t xml:space="preserve">Total </t>
  </si>
  <si>
    <t xml:space="preserve">Total New Reuse </t>
  </si>
  <si>
    <t>Baseline Plan Date</t>
  </si>
  <si>
    <t>Baseline Plan Hours</t>
  </si>
  <si>
    <t>Modulo de Catalogo</t>
  </si>
  <si>
    <t>P</t>
  </si>
  <si>
    <t>SYSTEM</t>
  </si>
  <si>
    <t>LOC</t>
  </si>
  <si>
    <t>Gestio de Usuarios</t>
  </si>
  <si>
    <t>Carrito de Compras</t>
  </si>
  <si>
    <t>Interfaz de Administrador</t>
  </si>
  <si>
    <t>Modulo de pagos</t>
  </si>
  <si>
    <t>Generacion de Reportes</t>
  </si>
  <si>
    <t>Registro</t>
  </si>
  <si>
    <t>A</t>
  </si>
  <si>
    <t>Catalogo</t>
  </si>
  <si>
    <t>Busqueda</t>
  </si>
  <si>
    <t>Carrito</t>
  </si>
  <si>
    <t>Total Plan Hours</t>
  </si>
  <si>
    <t>Total Actual Hours</t>
  </si>
  <si>
    <t>Reminder:</t>
  </si>
  <si>
    <t>If Size and Rate are present, estimated hours is calculated as Size / Rate</t>
  </si>
  <si>
    <t>whenever the plan is updated. To prevent calculation, size or rate must be blank.</t>
  </si>
  <si>
    <t>Plan Hours by Role</t>
  </si>
  <si>
    <t>Total Resource Hours</t>
  </si>
  <si>
    <t>Resources</t>
  </si>
  <si>
    <t>Estimated Size</t>
  </si>
  <si>
    <t>Rate (per Hr.)</t>
  </si>
  <si>
    <t>Time in Phase %</t>
  </si>
  <si>
    <t>Estimated Hours</t>
  </si>
  <si>
    <t>Engrs</t>
  </si>
  <si>
    <t>Plan Hours</t>
  </si>
  <si>
    <t>Plan Date</t>
  </si>
  <si>
    <t>Plan Week</t>
  </si>
  <si>
    <t>Actual Hours</t>
  </si>
  <si>
    <t>Actual Date</t>
  </si>
  <si>
    <t>Actual Week</t>
  </si>
  <si>
    <t>Earned Value</t>
  </si>
  <si>
    <t>Cumulative EV</t>
  </si>
  <si>
    <t>Cumulative Plan Hours</t>
  </si>
  <si>
    <t>Cumulative Plan Value</t>
  </si>
  <si>
    <t>Plan Value</t>
  </si>
  <si>
    <t>Predicted Date</t>
  </si>
  <si>
    <t>Plan Date + Current Slip</t>
  </si>
  <si>
    <t>Committed Date</t>
  </si>
  <si>
    <t>Baseline Date</t>
  </si>
  <si>
    <t>Notes</t>
  </si>
  <si>
    <t>Start Week</t>
  </si>
  <si>
    <t>PHISW</t>
  </si>
  <si>
    <t>PHIEW</t>
  </si>
  <si>
    <t>STRAT</t>
  </si>
  <si>
    <t>Reunion de lanzamiento, definicion de objetivos y estrategia del producto (Acta 1)</t>
  </si>
  <si>
    <t>PLAN</t>
  </si>
  <si>
    <t>Asignacion de roles TSP, estimacion de tamano y plan de calidad</t>
  </si>
  <si>
    <t>Elaboracion del plan de tareas y cronograma (Task + Schedule)</t>
  </si>
  <si>
    <t>Identificacion y analisis de riesgos del proyecto</t>
  </si>
  <si>
    <t>Balance de carga de trabajo y validacion del plan integral</t>
  </si>
  <si>
    <t>REQ</t>
  </si>
  <si>
    <t>Levantamiento de requisitos funcionales y no funcionales del sistema</t>
  </si>
  <si>
    <t>Definir requisitos de modulos: registro, articulos y catalogo</t>
  </si>
  <si>
    <t>Definir requisitos de modulos: busqueda, compra y carrito</t>
  </si>
  <si>
    <t>Consolidar documento SRS e inspeccion grupal de requisitos</t>
  </si>
  <si>
    <t>Pages</t>
  </si>
  <si>
    <t>DLD</t>
  </si>
  <si>
    <t>Diseno de arquitectura general, esquema Firestore y autenticacion Firebase</t>
  </si>
  <si>
    <t>Diseno de UI/UX general: wireframes, layout y navegacion entre modulos</t>
  </si>
  <si>
    <t>Diseno detallado de modulos de entrada: registro, articulos y catalogo</t>
  </si>
  <si>
    <t>Diseno detallado de modulos transaccionales: busqueda, compra y carrito</t>
  </si>
  <si>
    <t>Revision e inspeccion grupal del diseno detallado (DLD)</t>
  </si>
  <si>
    <t>Setup del proyecto: repo, dependencias, estructura y configuracion Firebase</t>
  </si>
  <si>
    <t>CODE</t>
  </si>
  <si>
    <t>Implementacion del modulo de registro, login y manejo de sesion</t>
  </si>
  <si>
    <t>Implementacion del modulo de articulos, detalle y carga inicial de 20+ productos</t>
  </si>
  <si>
    <t>Implementacion de busqueda basica (por nombre) y busqueda avanzada (filtros)</t>
  </si>
  <si>
    <t>Implementacion de compra por articulo y carrito de compras con totales</t>
  </si>
  <si>
    <t>Revisiones de codigo entre pares (code review)</t>
  </si>
  <si>
    <t>Compile y correccion de errores de compilacion</t>
  </si>
  <si>
    <t>TD</t>
  </si>
  <si>
    <t>Pruebas unitarias de todos los modulos (registro, catalogo, busqueda, carrito)</t>
  </si>
  <si>
    <t>Pruebas de integracion entre modulos del catalogo</t>
  </si>
  <si>
    <t>Pruebas de sistema end-to-end (flujo completo de compra)</t>
  </si>
  <si>
    <t>Despliegue a Firebase Hosting y verificacion en produccion</t>
  </si>
  <si>
    <t>Correccion de defectos encontrados en pruebas de sistema</t>
  </si>
  <si>
    <t>Analisis postmortem: lecciones aprendidas y metricas del ciclo</t>
  </si>
  <si>
    <t>Documentacion final consolidada del proyecto</t>
  </si>
  <si>
    <t>Preparacion de video demo, linea de tiempo y sustentacion final</t>
  </si>
  <si>
    <t>Total Task Plan Hours</t>
  </si>
  <si>
    <t>Total Schedule Plan Hours</t>
  </si>
  <si>
    <t>Difference</t>
  </si>
  <si>
    <t>Week</t>
  </si>
  <si>
    <t>Planned Hours</t>
  </si>
  <si>
    <t>Cumulative Planned Hours</t>
  </si>
  <si>
    <t>Cumulative Actual Hours</t>
  </si>
  <si>
    <t>Planned Value</t>
  </si>
  <si>
    <t>Cumulative Planned Value</t>
  </si>
  <si>
    <t>Predicted Hours</t>
  </si>
  <si>
    <t>Cumulative Predicted Hours</t>
  </si>
  <si>
    <t>Predicted Earned Value</t>
  </si>
  <si>
    <t>Cumulative Predicted Earned Value</t>
  </si>
  <si>
    <t>Baseline Cumulative Plan Hours</t>
  </si>
  <si>
    <t>Baseline Plan Value</t>
  </si>
  <si>
    <t>Baseline Cumulative Plan Value</t>
  </si>
  <si>
    <t>Risk</t>
  </si>
  <si>
    <t>Impact</t>
  </si>
  <si>
    <t>Likelihood</t>
  </si>
  <si>
    <t>Priority</t>
  </si>
  <si>
    <t>Assigned</t>
  </si>
  <si>
    <t>Hours</t>
  </si>
  <si>
    <t>Start</t>
  </si>
  <si>
    <t>Int.</t>
  </si>
  <si>
    <t>Stop</t>
  </si>
  <si>
    <t>Delta</t>
  </si>
  <si>
    <t>Num</t>
  </si>
  <si>
    <t>Type</t>
  </si>
  <si>
    <t>Injected</t>
  </si>
  <si>
    <t>Removed</t>
  </si>
  <si>
    <t>Fix Time</t>
  </si>
  <si>
    <t>Fix Ref.</t>
  </si>
  <si>
    <t>Status for Week</t>
  </si>
  <si>
    <t>Selected Assembly</t>
  </si>
  <si>
    <t>Week Date</t>
  </si>
  <si>
    <t>Task Hours %Change</t>
  </si>
  <si>
    <t>Weekly Data</t>
  </si>
  <si>
    <t>Plan / Actual</t>
  </si>
  <si>
    <t>Plan - Actual</t>
  </si>
  <si>
    <t>Project End Date</t>
  </si>
  <si>
    <t>Baseline</t>
  </si>
  <si>
    <t>Schedule hours for this week</t>
  </si>
  <si>
    <t>Current</t>
  </si>
  <si>
    <t>Schedule hours this cycle to date</t>
  </si>
  <si>
    <t>%Change</t>
  </si>
  <si>
    <t>Earned value for this week</t>
  </si>
  <si>
    <t>Predicted</t>
  </si>
  <si>
    <t>Earned value this cycle to date</t>
  </si>
  <si>
    <t>To-date hours for tasks completed</t>
  </si>
  <si>
    <t>To-date average hours per week</t>
  </si>
  <si>
    <t>EV per completed task hour to date</t>
  </si>
  <si>
    <t>Consolidated Team Member Schedule Data</t>
  </si>
  <si>
    <t>Totals</t>
  </si>
  <si>
    <t>Development Tasks Completed</t>
  </si>
  <si>
    <t>Resource</t>
  </si>
  <si>
    <t>Task Plan Hrs.</t>
  </si>
  <si>
    <t>Task Actual Hrs.</t>
  </si>
  <si>
    <t>Earned or Plan Value</t>
  </si>
  <si>
    <t>Plan vs. Actual Hrs.</t>
  </si>
  <si>
    <t>Baseline or Committed Date</t>
  </si>
  <si>
    <t>Slip Date</t>
  </si>
  <si>
    <t>Issue or Risk Number</t>
  </si>
  <si>
    <t xml:space="preserve"> R=Risk
 I=Issue</t>
  </si>
  <si>
    <t>Date Created</t>
  </si>
  <si>
    <t xml:space="preserve"> P=Personal
 T=Team</t>
  </si>
  <si>
    <t xml:space="preserve"> Likelihood (H,M,L)</t>
  </si>
  <si>
    <t xml:space="preserve"> Impact (H,M,L)</t>
  </si>
  <si>
    <t>Follow-up Date</t>
  </si>
  <si>
    <t>Current Status</t>
  </si>
  <si>
    <t>Date Status Changed</t>
  </si>
  <si>
    <t>Issue/Risk Number</t>
  </si>
  <si>
    <t>P=Personal T=Team</t>
  </si>
  <si>
    <t>R=Risk I=Issue</t>
  </si>
  <si>
    <t>Status</t>
  </si>
  <si>
    <t>Syntax</t>
  </si>
  <si>
    <t>Build, Package</t>
  </si>
  <si>
    <t>Assignment</t>
  </si>
  <si>
    <t>Interface</t>
  </si>
  <si>
    <t>Checking</t>
  </si>
  <si>
    <t>Data</t>
  </si>
  <si>
    <t>Function</t>
  </si>
  <si>
    <t>System</t>
  </si>
  <si>
    <t>Environment</t>
  </si>
  <si>
    <t>Task Generator
S-System
P-Part
N-None</t>
  </si>
  <si>
    <t>LOGT Track Time</t>
  </si>
  <si>
    <t>LOGD Track Defects Injected</t>
  </si>
  <si>
    <t>LOGD Track Defects Removed</t>
  </si>
  <si>
    <t>PDF</t>
  </si>
  <si>
    <t>DefDen</t>
  </si>
  <si>
    <t>DefRatios</t>
  </si>
  <si>
    <t>DevTimeRatio</t>
  </si>
  <si>
    <t>RvwRate</t>
  </si>
  <si>
    <t>PhaseYld</t>
  </si>
  <si>
    <t>ProcYld</t>
  </si>
  <si>
    <t>DI Rate</t>
  </si>
  <si>
    <t>DR Rate</t>
  </si>
  <si>
    <t>MGMT</t>
  </si>
  <si>
    <t>S</t>
  </si>
  <si>
    <t>Y</t>
  </si>
  <si>
    <t>N</t>
  </si>
  <si>
    <t>STP</t>
  </si>
  <si>
    <t>REQINSP</t>
  </si>
  <si>
    <t>HLD</t>
  </si>
  <si>
    <t>ITP</t>
  </si>
  <si>
    <t>HLDINSP</t>
  </si>
  <si>
    <t>DLDR</t>
  </si>
  <si>
    <t>DLDINSP</t>
  </si>
  <si>
    <t>CR</t>
  </si>
  <si>
    <t>y</t>
  </si>
  <si>
    <t>DOC</t>
  </si>
  <si>
    <t>AT</t>
  </si>
  <si>
    <t>PL</t>
  </si>
  <si>
    <t>Parameter</t>
  </si>
  <si>
    <t>Value</t>
  </si>
  <si>
    <t xml:space="preserve">  Design time as % of coding time</t>
  </si>
  <si>
    <t xml:space="preserve">  Code review time as % of code time</t>
  </si>
  <si>
    <t xml:space="preserve">  Compile defects/KLOC</t>
  </si>
  <si>
    <t xml:space="preserve">  Unit test defects/KLOC</t>
  </si>
  <si>
    <t xml:space="preserve">  Design review time as % of design time</t>
  </si>
  <si>
    <t>Levantamiento de requisitos y objetivos del proyecto (Acta 1)</t>
  </si>
  <si>
    <t>Definición de Roles, Responsabilidades e Integrantes (Acta 2)</t>
  </si>
  <si>
    <t>Elaboración del documento SRS y Casos de Uso</t>
  </si>
  <si>
    <t>Consolidación de requisitos funcionales y no funcionales</t>
  </si>
  <si>
    <t>Diseño Conceptual y Arquitectura del Sistema (Acta 3)</t>
  </si>
  <si>
    <t>Elaboración de diagramas de Flujo de Usuario y Clases</t>
  </si>
  <si>
    <t>Elaboración de diagramas de Arquitectura y Bases de Datos</t>
  </si>
  <si>
    <t>Planeación y Estimación del Tamaño del Proyecto en LOC (Acta 4)</t>
  </si>
  <si>
    <t>Identificación de Riesgos y elaboración de Matriz (Acta 6)</t>
  </si>
  <si>
    <t>Definición del Plan de Calidad y Estimación de Defectos (Acta 5)</t>
  </si>
  <si>
    <t>Balance de la carga de trabajo y cronograma SCHEDULE (Acta 7)</t>
  </si>
  <si>
    <t>Distribución de tareas en el TSPi Workbook (Task y LOGT)</t>
  </si>
  <si>
    <t>Redacción y formato APA de los avances semanales</t>
  </si>
  <si>
    <t>Generación y estilización de tablas de registro personal (PSP)</t>
  </si>
  <si>
    <t>Estructuración de la introducción y resumen ejecutivo</t>
  </si>
  <si>
    <t>Revisión de redundancias en el documento final</t>
  </si>
  <si>
    <t>Consolidación del documento final y anexos de evidencias</t>
  </si>
  <si>
    <t>Revisión cruzada de actas y métricas de calidad (Yield)</t>
  </si>
  <si>
    <t>Inspección grupal del libro de trabajo TSPi y desviaciones</t>
  </si>
  <si>
    <t>Preparación del reporte final de la Semana 5 para entrega</t>
  </si>
  <si>
    <t>09-06-26</t>
  </si>
  <si>
    <t>08:00</t>
  </si>
  <si>
    <t>15:00</t>
  </si>
  <si>
    <t>[Isaac] Coordinación equipo</t>
  </si>
  <si>
    <t>17:00</t>
  </si>
  <si>
    <t>[Isaac] Reunión de dudas</t>
  </si>
  <si>
    <t>16:00</t>
  </si>
  <si>
    <t>[Isaac] Implementación normal</t>
  </si>
  <si>
    <t>12:00</t>
  </si>
  <si>
    <t>[Isaac] Pruebas</t>
  </si>
  <si>
    <t>11:00</t>
  </si>
  <si>
    <t>[Juan] Revisión requisitos</t>
  </si>
  <si>
    <t>12:30</t>
  </si>
  <si>
    <t>[Juan] Diseño</t>
  </si>
  <si>
    <t>06:00</t>
  </si>
  <si>
    <t>23:59</t>
  </si>
  <si>
    <t>[Juan] Bugs en ORM Django</t>
  </si>
  <si>
    <t>[Juan] Pruebas unitarias</t>
  </si>
  <si>
    <t>13:00</t>
  </si>
  <si>
    <t>[Michael] Planeación REQ</t>
  </si>
  <si>
    <t>[Michael] Diseño de modulos</t>
  </si>
  <si>
    <t>19:00</t>
  </si>
  <si>
    <t>[Michael] Ajuste de estilos CSS</t>
  </si>
  <si>
    <t>[Michael] Testing</t>
  </si>
  <si>
    <t>[Nicolás] Revisión Rúbrica</t>
  </si>
  <si>
    <t>[Nicolás] Inspección de diseño</t>
  </si>
  <si>
    <t>14:00</t>
  </si>
  <si>
    <t>[Nicolás] Revision de codigo</t>
  </si>
  <si>
    <t>20:00</t>
  </si>
  <si>
    <t>[Nicolás] Inspección exhaustiva</t>
  </si>
  <si>
    <t>[Gustavo] Configurando GIT</t>
  </si>
  <si>
    <t>[Gustavo] Soporte a diseño</t>
  </si>
  <si>
    <t>[Gustavo] Desarrollo de scripts</t>
  </si>
  <si>
    <t>[Gustavo] Soporte en pruebas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</si>
</sst>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
    <numFmt numFmtId="165" formatCode="mmmm\ d\,\ yyyy"/>
    <numFmt numFmtId="166" formatCode="0.0%"/>
    <numFmt numFmtId="167" formatCode="mm/dd/yy"/>
    <numFmt numFmtId="168" formatCode="000"/>
    <numFmt numFmtId="169" formatCode="0.00_)"/>
    <numFmt numFmtId="170" formatCode="00"/>
    <numFmt numFmtId="171" formatCode="m/d/yy;@"/>
    <numFmt numFmtId="172" formatCode="0.000"/>
  </numFmts>
  <fonts count="29" x14ac:knownFonts="1">
    <font>
      <sz val="10"/>
      <name val="Arial"/>
    </font>
    <font>
      <sz val="10"/>
      <name val="Arial"/>
      <family val="2"/>
    </font>
    <font>
      <sz val="8"/>
      <name val="Arial"/>
      <family val="2"/>
    </font>
    <font>
      <b/>
      <sz val="10"/>
      <name val="Arial"/>
      <family val="2"/>
    </font>
    <font>
      <sz val="10"/>
      <name val="Arial"/>
      <family val="2"/>
    </font>
    <font>
      <sz val="9"/>
      <name val="Arial"/>
      <family val="2"/>
    </font>
    <font>
      <sz val="8"/>
      <name val="Arial"/>
      <family val="2"/>
    </font>
    <font>
      <u/>
      <sz val="10"/>
      <color indexed="12"/>
      <name val="Arial"/>
      <family val="2"/>
    </font>
    <font>
      <sz val="10"/>
      <name val="MS Sans Serif"/>
    </font>
    <font>
      <sz val="7"/>
      <name val="Small Fonts"/>
    </font>
    <font>
      <b/>
      <i/>
      <sz val="16"/>
      <name val="Helv"/>
    </font>
    <font>
      <b/>
      <sz val="14"/>
      <name val="Times New Roman"/>
      <family val="1"/>
    </font>
    <font>
      <sz val="7"/>
      <name val="Arial"/>
      <family val="2"/>
    </font>
    <font>
      <sz val="8"/>
      <name val="Times New Roman"/>
      <family val="1"/>
    </font>
    <font>
      <sz val="14"/>
      <name val="Times New Roman"/>
      <family val="1"/>
    </font>
    <font>
      <sz val="14"/>
      <color indexed="55"/>
      <name val="Times New Roman"/>
      <family val="1"/>
    </font>
    <font>
      <sz val="8"/>
      <color indexed="55"/>
      <name val="Arial"/>
      <family val="2"/>
    </font>
    <font>
      <b/>
      <sz val="10"/>
      <color indexed="55"/>
      <name val="Arial"/>
      <family val="2"/>
    </font>
    <font>
      <sz val="8"/>
      <color indexed="22"/>
      <name val="Arial"/>
      <family val="2"/>
    </font>
    <font>
      <b/>
      <sz val="12"/>
      <name val="Arial"/>
      <family val="2"/>
    </font>
    <font>
      <i/>
      <sz val="8"/>
      <name val="Arial"/>
      <family val="2"/>
    </font>
    <font>
      <b/>
      <sz val="9"/>
      <name val="Arial"/>
      <family val="2"/>
    </font>
    <font>
      <b/>
      <sz val="8"/>
      <name val="Arial"/>
      <family val="2"/>
    </font>
    <font>
      <b/>
      <sz val="9"/>
      <color indexed="10"/>
      <name val="Arial"/>
      <family val="2"/>
    </font>
    <font>
      <b/>
      <sz val="14"/>
      <name val="Arial"/>
      <family val="2"/>
    </font>
    <font>
      <u/>
      <sz val="8"/>
      <color indexed="12"/>
      <name val="Arial"/>
      <family val="2"/>
    </font>
    <font>
      <sz val="8"/>
      <color indexed="10"/>
      <name val="Arial"/>
      <family val="2"/>
    </font>
    <font>
      <sz val="8"/>
      <color rgb="FF000000"/>
      <name val="Arial"/>
      <family val="2"/>
    </font>
    <font>
      <sz val="8"/>
      <color rgb="FF000000"/>
      <name val="Tahoma"/>
      <family val="2"/>
    </font>
  </fonts>
  <fills count="7">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double">
        <color indexed="64"/>
      </bottom>
      <diagonal/>
    </border>
    <border>
      <left style="thin">
        <color indexed="64"/>
      </left>
      <right style="thin">
        <color indexed="64"/>
      </right>
      <top style="thin">
        <color indexed="64"/>
      </top>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9">
    <xf numFmtId="0" fontId="0" fillId="0" borderId="0"/>
    <xf numFmtId="38" fontId="6" fillId="2" borderId="0" applyNumberFormat="0" applyBorder="0" applyAlignment="0" applyProtection="0"/>
    <xf numFmtId="0" fontId="7" fillId="0" borderId="0" applyNumberFormat="0" applyFill="0" applyBorder="0" applyAlignment="0" applyProtection="0">
      <alignment vertical="top"/>
      <protection locked="0"/>
    </xf>
    <xf numFmtId="10" fontId="6" fillId="3" borderId="1" applyNumberFormat="0" applyBorder="0" applyAlignment="0" applyProtection="0"/>
    <xf numFmtId="37" fontId="9" fillId="0" borderId="0"/>
    <xf numFmtId="169" fontId="10" fillId="0" borderId="0"/>
    <xf numFmtId="0" fontId="8" fillId="0" borderId="0"/>
    <xf numFmtId="0" fontId="8" fillId="0" borderId="0"/>
    <xf numFmtId="10" fontId="1" fillId="0" borderId="0" applyFont="0" applyFill="0" applyBorder="0" applyAlignment="0" applyProtection="0"/>
  </cellStyleXfs>
  <cellXfs count="363">
    <xf numFmtId="0" fontId="0" fillId="0" borderId="0" xfId="0"/>
    <xf numFmtId="0" fontId="0" fillId="2" borderId="0" xfId="0" applyFill="1"/>
    <xf numFmtId="0" fontId="6" fillId="4" borderId="0" xfId="0" applyFont="1" applyFill="1"/>
    <xf numFmtId="14" fontId="6" fillId="4" borderId="0" xfId="0" applyNumberFormat="1" applyFont="1" applyFill="1"/>
    <xf numFmtId="0" fontId="6" fillId="2" borderId="0" xfId="0" applyFont="1" applyFill="1"/>
    <xf numFmtId="164" fontId="6" fillId="0" borderId="0" xfId="0" applyNumberFormat="1" applyFont="1" applyProtection="1">
      <protection locked="0"/>
    </xf>
    <xf numFmtId="0" fontId="6" fillId="0" borderId="0" xfId="0" applyFont="1" applyProtection="1">
      <protection locked="0"/>
    </xf>
    <xf numFmtId="164" fontId="6" fillId="2" borderId="0" xfId="0" applyNumberFormat="1" applyFont="1" applyFill="1"/>
    <xf numFmtId="164" fontId="6" fillId="0" borderId="0" xfId="0" applyNumberFormat="1" applyFont="1"/>
    <xf numFmtId="14" fontId="6" fillId="0" borderId="0" xfId="0" applyNumberFormat="1" applyFont="1" applyProtection="1">
      <protection locked="0"/>
    </xf>
    <xf numFmtId="0" fontId="6" fillId="2" borderId="0" xfId="0" applyFont="1" applyFill="1" applyProtection="1">
      <protection locked="0"/>
    </xf>
    <xf numFmtId="164" fontId="6" fillId="4" borderId="0" xfId="0" applyNumberFormat="1" applyFont="1" applyFill="1" applyProtection="1">
      <protection locked="0"/>
    </xf>
    <xf numFmtId="14" fontId="6" fillId="4" borderId="0" xfId="0" applyNumberFormat="1" applyFont="1" applyFill="1" applyProtection="1">
      <protection locked="0"/>
    </xf>
    <xf numFmtId="0" fontId="6" fillId="2" borderId="0" xfId="0" applyFont="1" applyFill="1" applyAlignment="1" applyProtection="1">
      <alignment horizontal="left" wrapText="1"/>
      <protection locked="0"/>
    </xf>
    <xf numFmtId="0" fontId="14" fillId="2" borderId="0" xfId="0" applyFont="1" applyFill="1"/>
    <xf numFmtId="0" fontId="15" fillId="2" borderId="0" xfId="0" applyFont="1" applyFill="1"/>
    <xf numFmtId="0" fontId="6" fillId="2" borderId="0" xfId="0" applyFont="1" applyFill="1" applyAlignment="1">
      <alignment horizontal="center"/>
    </xf>
    <xf numFmtId="0" fontId="6" fillId="2" borderId="0" xfId="0" applyFont="1" applyFill="1" applyAlignment="1">
      <alignment horizontal="left"/>
    </xf>
    <xf numFmtId="0" fontId="16" fillId="2" borderId="0" xfId="0" applyFont="1" applyFill="1"/>
    <xf numFmtId="0" fontId="3" fillId="2" borderId="0" xfId="0" applyFont="1" applyFill="1"/>
    <xf numFmtId="0" fontId="17" fillId="2" borderId="0" xfId="0" applyFont="1" applyFill="1"/>
    <xf numFmtId="164" fontId="6" fillId="4" borderId="0" xfId="0" applyNumberFormat="1" applyFont="1" applyFill="1"/>
    <xf numFmtId="0" fontId="0" fillId="0" borderId="0" xfId="0" applyProtection="1">
      <protection locked="0"/>
    </xf>
    <xf numFmtId="14" fontId="0" fillId="0" borderId="0" xfId="0" applyNumberFormat="1" applyProtection="1">
      <protection locked="0"/>
    </xf>
    <xf numFmtId="0" fontId="0" fillId="2" borderId="0" xfId="0" applyFill="1" applyAlignment="1">
      <alignment horizontal="center"/>
    </xf>
    <xf numFmtId="19" fontId="18" fillId="2" borderId="0" xfId="0" applyNumberFormat="1" applyFont="1" applyFill="1" applyAlignment="1">
      <alignment horizontal="center"/>
    </xf>
    <xf numFmtId="0" fontId="6" fillId="2" borderId="0" xfId="7" applyFont="1" applyFill="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0" fontId="6" fillId="2" borderId="0" xfId="7" applyFont="1" applyFill="1"/>
    <xf numFmtId="14" fontId="6" fillId="0" borderId="0" xfId="7" applyNumberFormat="1" applyFont="1" applyProtection="1">
      <protection locked="0"/>
    </xf>
    <xf numFmtId="0" fontId="20" fillId="2" borderId="3" xfId="0" applyFont="1" applyFill="1" applyBorder="1" applyAlignment="1">
      <alignment horizontal="left" indent="1"/>
    </xf>
    <xf numFmtId="0" fontId="7" fillId="0" borderId="3" xfId="2" applyFill="1" applyBorder="1" applyAlignment="1" applyProtection="1">
      <alignment horizontal="left"/>
    </xf>
    <xf numFmtId="0" fontId="6" fillId="0" borderId="0" xfId="0" applyFont="1" applyAlignment="1">
      <alignment vertical="top" wrapText="1"/>
    </xf>
    <xf numFmtId="0" fontId="6" fillId="0" borderId="0" xfId="0" applyFont="1" applyAlignment="1">
      <alignment horizontal="left" vertical="top" wrapText="1"/>
    </xf>
    <xf numFmtId="0" fontId="13" fillId="2" borderId="0" xfId="0" applyFont="1" applyFill="1"/>
    <xf numFmtId="0" fontId="5" fillId="2" borderId="0" xfId="0" applyFont="1" applyFill="1"/>
    <xf numFmtId="0" fontId="19" fillId="2" borderId="0" xfId="0" applyFont="1" applyFill="1"/>
    <xf numFmtId="0" fontId="21" fillId="2" borderId="0" xfId="0" applyFont="1" applyFill="1" applyAlignment="1">
      <alignment horizontal="right"/>
    </xf>
    <xf numFmtId="0" fontId="5" fillId="4" borderId="2" xfId="0" applyFont="1" applyFill="1" applyBorder="1"/>
    <xf numFmtId="0" fontId="21" fillId="2" borderId="0" xfId="0" applyFont="1" applyFill="1"/>
    <xf numFmtId="0" fontId="21" fillId="2" borderId="0" xfId="0" applyFont="1" applyFill="1" applyAlignment="1">
      <alignment horizontal="center"/>
    </xf>
    <xf numFmtId="0" fontId="5" fillId="2" borderId="0" xfId="0" applyFont="1" applyFill="1" applyAlignment="1">
      <alignment horizontal="left" indent="1"/>
    </xf>
    <xf numFmtId="0" fontId="5" fillId="2" borderId="0" xfId="0" applyFont="1" applyFill="1" applyAlignment="1">
      <alignment horizontal="left" indent="2"/>
    </xf>
    <xf numFmtId="0" fontId="5" fillId="2" borderId="2" xfId="0" applyFont="1" applyFill="1" applyBorder="1"/>
    <xf numFmtId="0" fontId="6" fillId="2" borderId="0" xfId="0" applyFont="1" applyFill="1" applyAlignment="1">
      <alignment textRotation="90" wrapText="1"/>
    </xf>
    <xf numFmtId="0" fontId="6" fillId="0" borderId="0" xfId="0" applyFont="1" applyAlignment="1" applyProtection="1">
      <alignment vertical="top" wrapText="1"/>
      <protection locked="0"/>
    </xf>
    <xf numFmtId="168" fontId="6" fillId="0" borderId="0" xfId="0" applyNumberFormat="1" applyFont="1" applyProtection="1">
      <protection locked="0"/>
    </xf>
    <xf numFmtId="168" fontId="6" fillId="0" borderId="0" xfId="0" applyNumberFormat="1" applyFont="1" applyAlignment="1" applyProtection="1">
      <alignment horizontal="center"/>
      <protection locked="0"/>
    </xf>
    <xf numFmtId="0" fontId="6" fillId="5" borderId="0" xfId="0" applyFont="1" applyFill="1" applyAlignment="1">
      <alignment horizontal="center"/>
    </xf>
    <xf numFmtId="166" fontId="5" fillId="4" borderId="2" xfId="0" applyNumberFormat="1" applyFont="1" applyFill="1" applyBorder="1"/>
    <xf numFmtId="0" fontId="6" fillId="5" borderId="0" xfId="0" applyFont="1" applyFill="1"/>
    <xf numFmtId="168" fontId="3" fillId="5" borderId="0" xfId="0" applyNumberFormat="1" applyFont="1" applyFill="1" applyAlignment="1">
      <alignment horizontal="right"/>
    </xf>
    <xf numFmtId="168" fontId="3" fillId="5" borderId="0" xfId="0" applyNumberFormat="1" applyFont="1" applyFill="1" applyAlignment="1">
      <alignment horizontal="center"/>
    </xf>
    <xf numFmtId="0" fontId="6" fillId="4" borderId="0" xfId="0" applyFont="1" applyFill="1" applyAlignment="1">
      <alignment horizontal="left"/>
    </xf>
    <xf numFmtId="164" fontId="5" fillId="4" borderId="2" xfId="0" applyNumberFormat="1" applyFont="1" applyFill="1" applyBorder="1"/>
    <xf numFmtId="1" fontId="5" fillId="4" borderId="2" xfId="0" applyNumberFormat="1" applyFont="1" applyFill="1" applyBorder="1"/>
    <xf numFmtId="0" fontId="5" fillId="2" borderId="0" xfId="0" applyFont="1" applyFill="1" applyAlignment="1">
      <alignment horizontal="left"/>
    </xf>
    <xf numFmtId="9" fontId="5" fillId="4" borderId="2" xfId="0" applyNumberFormat="1" applyFont="1" applyFill="1" applyBorder="1"/>
    <xf numFmtId="0" fontId="3" fillId="5" borderId="0" xfId="0" applyFont="1" applyFill="1"/>
    <xf numFmtId="2" fontId="5" fillId="4" borderId="2" xfId="0" applyNumberFormat="1" applyFont="1" applyFill="1" applyBorder="1"/>
    <xf numFmtId="21" fontId="6" fillId="0" borderId="0" xfId="7" applyNumberFormat="1" applyFont="1" applyProtection="1">
      <protection locked="0"/>
    </xf>
    <xf numFmtId="0" fontId="22" fillId="2" borderId="0" xfId="0" applyFont="1" applyFill="1" applyAlignment="1">
      <alignment horizontal="right"/>
    </xf>
    <xf numFmtId="0" fontId="5" fillId="4" borderId="2" xfId="0" applyFont="1" applyFill="1" applyBorder="1" applyAlignment="1">
      <alignment horizontal="left"/>
    </xf>
    <xf numFmtId="0" fontId="19" fillId="2" borderId="0" xfId="0" applyFont="1" applyFill="1" applyAlignment="1">
      <alignment horizontal="left"/>
    </xf>
    <xf numFmtId="168" fontId="19" fillId="5" borderId="0" xfId="0" applyNumberFormat="1" applyFont="1" applyFill="1" applyAlignment="1">
      <alignment horizontal="left"/>
    </xf>
    <xf numFmtId="0" fontId="21" fillId="5" borderId="0" xfId="0" applyFont="1" applyFill="1"/>
    <xf numFmtId="168" fontId="21" fillId="5" borderId="0" xfId="0" applyNumberFormat="1" applyFont="1" applyFill="1" applyAlignment="1">
      <alignment horizontal="right"/>
    </xf>
    <xf numFmtId="0" fontId="6" fillId="2" borderId="0" xfId="0" applyFont="1" applyFill="1" applyAlignment="1" applyProtection="1">
      <alignment horizontal="center"/>
      <protection locked="0"/>
    </xf>
    <xf numFmtId="14" fontId="19" fillId="2" borderId="0" xfId="0" applyNumberFormat="1" applyFont="1" applyFill="1"/>
    <xf numFmtId="14" fontId="5" fillId="4" borderId="2" xfId="0" applyNumberFormat="1" applyFont="1" applyFill="1" applyBorder="1" applyAlignment="1">
      <alignment horizontal="left"/>
    </xf>
    <xf numFmtId="164" fontId="23" fillId="2" borderId="0" xfId="0" applyNumberFormat="1" applyFont="1" applyFill="1"/>
    <xf numFmtId="0" fontId="5" fillId="0" borderId="2" xfId="0" applyFont="1" applyBorder="1" applyProtection="1">
      <protection locked="0"/>
    </xf>
    <xf numFmtId="9" fontId="5" fillId="0" borderId="2" xfId="0" applyNumberFormat="1" applyFont="1" applyBorder="1" applyProtection="1">
      <protection locked="0"/>
    </xf>
    <xf numFmtId="1" fontId="0" fillId="2" borderId="0" xfId="0" applyNumberFormat="1" applyFill="1"/>
    <xf numFmtId="0" fontId="22" fillId="2" borderId="0" xfId="0" applyFont="1" applyFill="1" applyAlignment="1">
      <alignment horizontal="right" wrapText="1"/>
    </xf>
    <xf numFmtId="0" fontId="6" fillId="2" borderId="0" xfId="0" applyFont="1" applyFill="1" applyAlignment="1">
      <alignment horizontal="left" wrapText="1"/>
    </xf>
    <xf numFmtId="0" fontId="5" fillId="4" borderId="14" xfId="0" applyFont="1" applyFill="1" applyBorder="1" applyAlignment="1">
      <alignment horizontal="left"/>
    </xf>
    <xf numFmtId="0" fontId="25" fillId="0" borderId="0" xfId="2" applyFont="1" applyFill="1" applyAlignment="1" applyProtection="1">
      <alignment vertical="top" wrapText="1"/>
    </xf>
    <xf numFmtId="0" fontId="21" fillId="2" borderId="0" xfId="0" applyFont="1" applyFill="1" applyAlignment="1">
      <alignment horizontal="center" wrapText="1"/>
    </xf>
    <xf numFmtId="0" fontId="5" fillId="4" borderId="14" xfId="0" applyFont="1" applyFill="1" applyBorder="1"/>
    <xf numFmtId="164" fontId="5" fillId="2" borderId="0" xfId="0" applyNumberFormat="1" applyFont="1" applyFill="1"/>
    <xf numFmtId="164" fontId="21" fillId="2" borderId="0" xfId="0" applyNumberFormat="1" applyFont="1" applyFill="1" applyAlignment="1">
      <alignment horizontal="center"/>
    </xf>
    <xf numFmtId="164" fontId="21" fillId="2" borderId="0" xfId="0" applyNumberFormat="1" applyFont="1" applyFill="1" applyAlignment="1">
      <alignment horizontal="center" wrapText="1"/>
    </xf>
    <xf numFmtId="164" fontId="5" fillId="4" borderId="14" xfId="0" applyNumberFormat="1" applyFont="1" applyFill="1" applyBorder="1"/>
    <xf numFmtId="0" fontId="12" fillId="2" borderId="0" xfId="0" applyFont="1" applyFill="1" applyAlignment="1">
      <alignment horizontal="right" vertical="top" wrapText="1"/>
    </xf>
    <xf numFmtId="0" fontId="12" fillId="2" borderId="0" xfId="0" applyFont="1" applyFill="1" applyAlignment="1">
      <alignment horizontal="center"/>
    </xf>
    <xf numFmtId="0" fontId="3" fillId="2" borderId="0" xfId="0" applyFont="1" applyFill="1" applyAlignment="1">
      <alignment horizontal="right"/>
    </xf>
    <xf numFmtId="0" fontId="4" fillId="2" borderId="0" xfId="0" applyFont="1" applyFill="1"/>
    <xf numFmtId="0" fontId="22" fillId="2" borderId="0" xfId="0" applyFont="1" applyFill="1" applyAlignment="1" applyProtection="1">
      <alignment horizontal="right"/>
      <protection hidden="1"/>
    </xf>
    <xf numFmtId="0" fontId="12" fillId="2" borderId="0" xfId="0" applyFont="1" applyFill="1"/>
    <xf numFmtId="0" fontId="6" fillId="4" borderId="0" xfId="0" applyFont="1" applyFill="1" applyProtection="1">
      <protection locked="0"/>
    </xf>
    <xf numFmtId="164" fontId="19" fillId="2" borderId="0" xfId="0" applyNumberFormat="1" applyFont="1" applyFill="1" applyAlignment="1">
      <alignment horizontal="left"/>
    </xf>
    <xf numFmtId="0" fontId="7" fillId="0" borderId="0" xfId="2" applyFill="1" applyAlignment="1" applyProtection="1">
      <alignment vertical="top" wrapText="1"/>
    </xf>
    <xf numFmtId="0" fontId="6" fillId="4" borderId="14" xfId="0" applyFont="1" applyFill="1" applyBorder="1" applyAlignment="1">
      <alignment vertical="top"/>
    </xf>
    <xf numFmtId="0" fontId="21" fillId="2" borderId="0" xfId="0" applyFont="1" applyFill="1" applyAlignment="1">
      <alignment horizontal="center" textRotation="90" wrapText="1"/>
    </xf>
    <xf numFmtId="164" fontId="3" fillId="2" borderId="0" xfId="0" applyNumberFormat="1" applyFont="1" applyFill="1" applyAlignment="1">
      <alignment horizontal="right"/>
    </xf>
    <xf numFmtId="0" fontId="6" fillId="4" borderId="14" xfId="0" applyFont="1" applyFill="1" applyBorder="1" applyAlignment="1">
      <alignment vertical="top" wrapText="1"/>
    </xf>
    <xf numFmtId="0" fontId="0" fillId="2" borderId="0" xfId="0" applyFill="1" applyAlignment="1">
      <alignment vertical="top" wrapText="1"/>
    </xf>
    <xf numFmtId="0" fontId="21" fillId="2" borderId="1" xfId="0" applyFont="1" applyFill="1" applyBorder="1"/>
    <xf numFmtId="0" fontId="21" fillId="2" borderId="1" xfId="0" applyFont="1" applyFill="1" applyBorder="1" applyAlignment="1">
      <alignment horizontal="left"/>
    </xf>
    <xf numFmtId="0" fontId="5" fillId="2" borderId="19" xfId="0" applyFont="1" applyFill="1" applyBorder="1"/>
    <xf numFmtId="0" fontId="5" fillId="2" borderId="21" xfId="0" applyFont="1" applyFill="1" applyBorder="1"/>
    <xf numFmtId="0" fontId="5" fillId="2" borderId="6" xfId="0" applyFont="1" applyFill="1" applyBorder="1"/>
    <xf numFmtId="0" fontId="5" fillId="2" borderId="19" xfId="0" applyFont="1" applyFill="1" applyBorder="1" applyAlignment="1">
      <alignment horizontal="left"/>
    </xf>
    <xf numFmtId="0" fontId="5" fillId="2" borderId="21" xfId="0" applyFont="1" applyFill="1" applyBorder="1" applyAlignment="1">
      <alignment horizontal="left"/>
    </xf>
    <xf numFmtId="0" fontId="5" fillId="2" borderId="6" xfId="0" applyFont="1" applyFill="1" applyBorder="1" applyAlignment="1">
      <alignment horizontal="left"/>
    </xf>
    <xf numFmtId="0" fontId="6" fillId="0" borderId="0" xfId="0" applyFont="1" applyAlignment="1" applyProtection="1">
      <alignment vertical="top"/>
      <protection locked="0"/>
    </xf>
    <xf numFmtId="1" fontId="19" fillId="2" borderId="0" xfId="0" applyNumberFormat="1" applyFont="1" applyFill="1" applyAlignment="1">
      <alignment horizontal="left"/>
    </xf>
    <xf numFmtId="1" fontId="21" fillId="2" borderId="0" xfId="0" applyNumberFormat="1" applyFont="1" applyFill="1" applyAlignment="1">
      <alignment horizontal="right"/>
    </xf>
    <xf numFmtId="1" fontId="22" fillId="2" borderId="0" xfId="0" applyNumberFormat="1" applyFont="1" applyFill="1" applyAlignment="1">
      <alignment horizontal="right"/>
    </xf>
    <xf numFmtId="0" fontId="5" fillId="2" borderId="1" xfId="0" applyFont="1" applyFill="1" applyBorder="1" applyAlignment="1">
      <alignment vertical="top" wrapText="1"/>
    </xf>
    <xf numFmtId="0" fontId="5" fillId="2" borderId="19" xfId="0" applyFont="1" applyFill="1" applyBorder="1" applyAlignment="1">
      <alignment vertical="top" wrapText="1"/>
    </xf>
    <xf numFmtId="0" fontId="5" fillId="2" borderId="21" xfId="0" applyFont="1" applyFill="1" applyBorder="1" applyAlignment="1">
      <alignment vertical="top" wrapText="1"/>
    </xf>
    <xf numFmtId="0" fontId="5" fillId="2" borderId="6" xfId="0" applyFont="1" applyFill="1" applyBorder="1" applyAlignment="1">
      <alignment vertical="top" wrapText="1"/>
    </xf>
    <xf numFmtId="1" fontId="6" fillId="0" borderId="0" xfId="0" applyNumberFormat="1" applyFont="1" applyAlignment="1" applyProtection="1">
      <alignment vertical="top"/>
      <protection locked="0"/>
    </xf>
    <xf numFmtId="164" fontId="13" fillId="2" borderId="0" xfId="0" applyNumberFormat="1" applyFont="1" applyFill="1"/>
    <xf numFmtId="1" fontId="6" fillId="4" borderId="0" xfId="0" applyNumberFormat="1" applyFont="1" applyFill="1" applyProtection="1">
      <protection locked="0"/>
    </xf>
    <xf numFmtId="1" fontId="6" fillId="2" borderId="0" xfId="0" applyNumberFormat="1" applyFont="1" applyFill="1" applyProtection="1">
      <protection locked="0"/>
    </xf>
    <xf numFmtId="0" fontId="5" fillId="0" borderId="0" xfId="0" applyFont="1" applyProtection="1">
      <protection locked="0"/>
    </xf>
    <xf numFmtId="0" fontId="5" fillId="2" borderId="0" xfId="0" applyFont="1" applyFill="1" applyAlignment="1">
      <alignment horizontal="right"/>
    </xf>
    <xf numFmtId="0" fontId="22" fillId="5" borderId="16" xfId="0" applyFont="1" applyFill="1" applyBorder="1"/>
    <xf numFmtId="2" fontId="5" fillId="4" borderId="14" xfId="0" applyNumberFormat="1" applyFont="1" applyFill="1" applyBorder="1"/>
    <xf numFmtId="0" fontId="6" fillId="0" borderId="0" xfId="0" applyFont="1" applyAlignment="1">
      <alignment textRotation="90"/>
    </xf>
    <xf numFmtId="164" fontId="21" fillId="2" borderId="0" xfId="0" applyNumberFormat="1" applyFont="1" applyFill="1" applyAlignment="1">
      <alignment horizontal="right"/>
    </xf>
    <xf numFmtId="0" fontId="5" fillId="2" borderId="0" xfId="0" applyFont="1" applyFill="1" applyAlignment="1">
      <alignment horizontal="center" wrapText="1"/>
    </xf>
    <xf numFmtId="164" fontId="21" fillId="2" borderId="2" xfId="0" applyNumberFormat="1" applyFont="1" applyFill="1" applyBorder="1" applyAlignment="1">
      <alignment horizontal="center" wrapText="1"/>
    </xf>
    <xf numFmtId="164" fontId="21" fillId="2" borderId="2" xfId="0" applyNumberFormat="1" applyFont="1" applyFill="1" applyBorder="1" applyAlignment="1">
      <alignment horizontal="left"/>
    </xf>
    <xf numFmtId="164" fontId="6" fillId="4" borderId="0" xfId="7" applyNumberFormat="1" applyFont="1" applyFill="1" applyProtection="1">
      <protection locked="0"/>
    </xf>
    <xf numFmtId="0" fontId="26" fillId="2" borderId="0" xfId="0" applyFont="1" applyFill="1" applyAlignment="1" applyProtection="1">
      <alignment horizontal="left"/>
      <protection locked="0"/>
    </xf>
    <xf numFmtId="0" fontId="26" fillId="2" borderId="0" xfId="0" applyFont="1" applyFill="1" applyAlignment="1">
      <alignment horizontal="left"/>
    </xf>
    <xf numFmtId="0" fontId="22" fillId="2" borderId="0" xfId="0" applyFont="1" applyFill="1"/>
    <xf numFmtId="172" fontId="5" fillId="4" borderId="14" xfId="0" applyNumberFormat="1" applyFont="1" applyFill="1" applyBorder="1"/>
    <xf numFmtId="0" fontId="5" fillId="2" borderId="0" xfId="0" applyFont="1" applyFill="1" applyAlignment="1">
      <alignment horizontal="center" textRotation="90" wrapText="1"/>
    </xf>
    <xf numFmtId="164" fontId="21" fillId="2" borderId="0" xfId="0" applyNumberFormat="1" applyFont="1" applyFill="1" applyAlignment="1">
      <alignment horizontal="center" textRotation="90" wrapText="1"/>
    </xf>
    <xf numFmtId="14" fontId="5" fillId="4" borderId="14" xfId="0" applyNumberFormat="1" applyFont="1" applyFill="1" applyBorder="1"/>
    <xf numFmtId="0" fontId="5" fillId="4" borderId="2" xfId="0" applyFont="1" applyFill="1" applyBorder="1" applyAlignment="1">
      <alignment horizontal="right"/>
    </xf>
    <xf numFmtId="171" fontId="6" fillId="4" borderId="0" xfId="0" applyNumberFormat="1" applyFont="1" applyFill="1" applyProtection="1">
      <protection locked="0"/>
    </xf>
    <xf numFmtId="14" fontId="0" fillId="0" borderId="0" xfId="0" applyNumberFormat="1"/>
    <xf numFmtId="171" fontId="3" fillId="5" borderId="0" xfId="0" applyNumberFormat="1" applyFont="1" applyFill="1"/>
    <xf numFmtId="171" fontId="21" fillId="5" borderId="0" xfId="0" applyNumberFormat="1" applyFont="1" applyFill="1"/>
    <xf numFmtId="171" fontId="19" fillId="2" borderId="0" xfId="0" applyNumberFormat="1" applyFont="1" applyFill="1" applyAlignment="1">
      <alignment horizontal="left"/>
    </xf>
    <xf numFmtId="171" fontId="5" fillId="2" borderId="0" xfId="0" applyNumberFormat="1" applyFont="1" applyFill="1" applyAlignment="1">
      <alignment horizontal="left"/>
    </xf>
    <xf numFmtId="171" fontId="5" fillId="2" borderId="0" xfId="0" applyNumberFormat="1" applyFont="1" applyFill="1"/>
    <xf numFmtId="171" fontId="6" fillId="0" borderId="0" xfId="7" applyNumberFormat="1" applyFont="1" applyProtection="1">
      <protection locked="0"/>
    </xf>
    <xf numFmtId="171" fontId="21" fillId="2" borderId="0" xfId="0" applyNumberFormat="1" applyFont="1" applyFill="1" applyAlignment="1">
      <alignment horizontal="center"/>
    </xf>
    <xf numFmtId="171" fontId="21" fillId="2" borderId="2" xfId="0" applyNumberFormat="1" applyFont="1" applyFill="1" applyBorder="1" applyAlignment="1">
      <alignment horizontal="left"/>
    </xf>
    <xf numFmtId="171" fontId="21" fillId="2" borderId="0" xfId="0" applyNumberFormat="1" applyFont="1" applyFill="1" applyAlignment="1">
      <alignment horizontal="center" textRotation="90" wrapText="1"/>
    </xf>
    <xf numFmtId="171" fontId="5" fillId="4" borderId="2" xfId="0" applyNumberFormat="1" applyFont="1" applyFill="1" applyBorder="1"/>
    <xf numFmtId="171" fontId="5" fillId="4" borderId="14" xfId="0" applyNumberFormat="1" applyFont="1" applyFill="1" applyBorder="1"/>
    <xf numFmtId="171" fontId="5" fillId="4" borderId="14" xfId="0" applyNumberFormat="1" applyFont="1" applyFill="1" applyBorder="1" applyAlignment="1">
      <alignment horizontal="right"/>
    </xf>
    <xf numFmtId="171" fontId="5" fillId="4" borderId="2" xfId="0" applyNumberFormat="1" applyFont="1" applyFill="1" applyBorder="1" applyAlignment="1">
      <alignment horizontal="left"/>
    </xf>
    <xf numFmtId="167" fontId="5" fillId="2" borderId="0" xfId="0" applyNumberFormat="1" applyFont="1" applyFill="1" applyAlignment="1">
      <alignment horizontal="left"/>
    </xf>
    <xf numFmtId="0" fontId="2" fillId="0" borderId="2" xfId="0" applyFont="1" applyBorder="1" applyAlignment="1" applyProtection="1">
      <alignment horizontal="left"/>
      <protection locked="0"/>
    </xf>
    <xf numFmtId="0" fontId="2" fillId="0" borderId="0" xfId="0" applyFont="1" applyAlignment="1" applyProtection="1">
      <alignment horizontal="left"/>
      <protection locked="0"/>
    </xf>
    <xf numFmtId="0" fontId="2" fillId="0" borderId="0" xfId="0" applyFont="1" applyAlignment="1" applyProtection="1">
      <alignment horizontal="left"/>
      <protection locked="0" hidden="1"/>
    </xf>
    <xf numFmtId="0" fontId="2" fillId="0" borderId="0" xfId="0" applyFont="1" applyProtection="1">
      <protection locked="0"/>
    </xf>
    <xf numFmtId="0" fontId="2" fillId="0" borderId="0" xfId="0" quotePrefix="1" applyFont="1" applyProtection="1">
      <protection locked="0"/>
    </xf>
    <xf numFmtId="0" fontId="2" fillId="0" borderId="0" xfId="0" applyFont="1" applyAlignment="1" applyProtection="1">
      <alignment vertical="top" wrapText="1"/>
      <protection locked="0"/>
    </xf>
    <xf numFmtId="0" fontId="2" fillId="2" borderId="12" xfId="0" applyFont="1" applyFill="1" applyBorder="1" applyAlignment="1">
      <alignment horizont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0" xfId="0" applyFont="1" applyFill="1" applyAlignment="1">
      <alignment horizontal="center"/>
    </xf>
    <xf numFmtId="0" fontId="1" fillId="2" borderId="3" xfId="0" applyFont="1" applyFill="1" applyBorder="1" applyAlignment="1">
      <alignment horizontal="left"/>
    </xf>
    <xf numFmtId="0" fontId="2" fillId="2" borderId="0" xfId="0" applyFont="1" applyFill="1"/>
    <xf numFmtId="0" fontId="2" fillId="0" borderId="0" xfId="0" applyFont="1" applyAlignment="1">
      <alignment horizontal="left"/>
    </xf>
    <xf numFmtId="0" fontId="2" fillId="0" borderId="11" xfId="0" applyFont="1" applyBorder="1"/>
    <xf numFmtId="0" fontId="2" fillId="0" borderId="0" xfId="0" applyFont="1"/>
    <xf numFmtId="0" fontId="2" fillId="0" borderId="3" xfId="0" applyFont="1" applyBorder="1" applyAlignment="1">
      <alignment horizontal="left"/>
    </xf>
    <xf numFmtId="0" fontId="2" fillId="2" borderId="0" xfId="0" applyFont="1" applyFill="1" applyAlignment="1">
      <alignment horizontal="left" indent="1"/>
    </xf>
    <xf numFmtId="0" fontId="2" fillId="2" borderId="0" xfId="0" applyFont="1" applyFill="1" applyAlignment="1">
      <alignment horizontal="left"/>
    </xf>
    <xf numFmtId="0" fontId="2" fillId="2" borderId="11" xfId="0" applyFont="1" applyFill="1" applyBorder="1"/>
    <xf numFmtId="0" fontId="2" fillId="0" borderId="3" xfId="0" applyFont="1" applyBorder="1"/>
    <xf numFmtId="0" fontId="2" fillId="2" borderId="12" xfId="0" applyFont="1" applyFill="1" applyBorder="1" applyAlignment="1">
      <alignment horizontal="left"/>
    </xf>
    <xf numFmtId="0" fontId="2" fillId="2" borderId="2" xfId="0" applyFont="1" applyFill="1" applyBorder="1"/>
    <xf numFmtId="0" fontId="2" fillId="2" borderId="2" xfId="0" applyFont="1" applyFill="1" applyBorder="1" applyAlignment="1">
      <alignment horizontal="left"/>
    </xf>
    <xf numFmtId="0" fontId="2" fillId="2" borderId="4" xfId="0" applyFont="1" applyFill="1" applyBorder="1"/>
    <xf numFmtId="0" fontId="2" fillId="2" borderId="0" xfId="0" applyFont="1" applyFill="1" applyAlignment="1">
      <alignment horizontal="center" vertical="top" wrapText="1"/>
    </xf>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horizontal="left" vertical="top" wrapText="1"/>
    </xf>
    <xf numFmtId="0" fontId="2" fillId="2" borderId="0" xfId="0" applyFont="1" applyFill="1" applyAlignment="1">
      <alignment horizontal="left" vertical="top" wrapText="1"/>
    </xf>
    <xf numFmtId="0" fontId="2" fillId="0" borderId="0" xfId="2" applyFont="1" applyFill="1" applyAlignment="1" applyProtection="1">
      <alignment vertical="top" wrapText="1"/>
    </xf>
    <xf numFmtId="0" fontId="1" fillId="2" borderId="0" xfId="0" applyFont="1" applyFill="1"/>
    <xf numFmtId="15" fontId="2" fillId="4" borderId="2" xfId="0" applyNumberFormat="1" applyFont="1" applyFill="1" applyBorder="1" applyAlignment="1">
      <alignment horizontal="left"/>
    </xf>
    <xf numFmtId="0" fontId="2" fillId="2" borderId="0" xfId="0" applyFont="1" applyFill="1" applyAlignment="1">
      <alignment horizontal="right"/>
    </xf>
    <xf numFmtId="165" fontId="2" fillId="0" borderId="2" xfId="0" applyNumberFormat="1" applyFont="1" applyBorder="1" applyAlignment="1" applyProtection="1">
      <alignment horizontal="left"/>
      <protection locked="0"/>
    </xf>
    <xf numFmtId="15" fontId="2" fillId="0" borderId="14" xfId="0" applyNumberFormat="1" applyFont="1" applyBorder="1" applyAlignment="1" applyProtection="1">
      <alignment horizontal="left"/>
      <protection locked="0"/>
    </xf>
    <xf numFmtId="0" fontId="2" fillId="2" borderId="0" xfId="0" applyFont="1" applyFill="1" applyAlignment="1">
      <alignment horizontal="right" vertical="center"/>
    </xf>
    <xf numFmtId="0" fontId="2" fillId="2" borderId="0" xfId="0" applyFont="1" applyFill="1" applyAlignment="1">
      <alignment vertical="center" wrapText="1"/>
    </xf>
    <xf numFmtId="14" fontId="2" fillId="6" borderId="14" xfId="0" applyNumberFormat="1" applyFont="1" applyFill="1" applyBorder="1" applyProtection="1">
      <protection locked="0"/>
    </xf>
    <xf numFmtId="0" fontId="2" fillId="2" borderId="1" xfId="0" applyFont="1" applyFill="1" applyBorder="1" applyAlignment="1">
      <alignment horizontal="center"/>
    </xf>
    <xf numFmtId="0" fontId="2" fillId="2" borderId="1" xfId="0" applyFont="1" applyFill="1" applyBorder="1" applyAlignment="1">
      <alignment horizontal="center" wrapText="1"/>
    </xf>
    <xf numFmtId="170" fontId="2" fillId="2" borderId="0" xfId="0" applyNumberFormat="1" applyFont="1" applyFill="1" applyAlignment="1">
      <alignment horizontal="center"/>
    </xf>
    <xf numFmtId="0" fontId="2" fillId="4" borderId="20" xfId="0" applyFont="1" applyFill="1" applyBorder="1" applyProtection="1">
      <protection locked="0"/>
    </xf>
    <xf numFmtId="0" fontId="2" fillId="2" borderId="19" xfId="0" applyFont="1" applyFill="1" applyBorder="1" applyAlignment="1">
      <alignment wrapText="1"/>
    </xf>
    <xf numFmtId="0" fontId="2" fillId="2" borderId="17" xfId="0" applyFont="1" applyFill="1" applyBorder="1" applyAlignment="1">
      <alignment wrapText="1"/>
    </xf>
    <xf numFmtId="0" fontId="2" fillId="2" borderId="15" xfId="0" applyFont="1" applyFill="1" applyBorder="1" applyAlignment="1">
      <alignment horizontal="center" wrapText="1"/>
    </xf>
    <xf numFmtId="0" fontId="2" fillId="2" borderId="6" xfId="0" applyFont="1" applyFill="1" applyBorder="1" applyAlignment="1">
      <alignment horizontal="center" wrapText="1"/>
    </xf>
    <xf numFmtId="0" fontId="2" fillId="2" borderId="4" xfId="0" applyFont="1" applyFill="1" applyBorder="1" applyAlignment="1">
      <alignment horizontal="center" wrapText="1"/>
    </xf>
    <xf numFmtId="0" fontId="2" fillId="2" borderId="7" xfId="0" applyFont="1" applyFill="1" applyBorder="1" applyAlignment="1">
      <alignment horizontal="center" wrapText="1"/>
    </xf>
    <xf numFmtId="0" fontId="2" fillId="2" borderId="8" xfId="0" applyFont="1" applyFill="1" applyBorder="1" applyAlignment="1">
      <alignment horizontal="center" wrapText="1"/>
    </xf>
    <xf numFmtId="0" fontId="2" fillId="2" borderId="9" xfId="0" applyFont="1" applyFill="1" applyBorder="1" applyAlignment="1">
      <alignment horizontal="center" wrapText="1"/>
    </xf>
    <xf numFmtId="0" fontId="2" fillId="2" borderId="5" xfId="0" applyFont="1" applyFill="1" applyBorder="1"/>
    <xf numFmtId="0" fontId="2" fillId="0" borderId="8" xfId="0" applyFont="1" applyBorder="1" applyProtection="1">
      <protection locked="0"/>
    </xf>
    <xf numFmtId="0" fontId="2" fillId="0" borderId="4" xfId="0" applyFont="1" applyBorder="1" applyProtection="1">
      <protection locked="0"/>
    </xf>
    <xf numFmtId="0" fontId="2" fillId="2" borderId="7" xfId="0" applyFont="1" applyFill="1" applyBorder="1"/>
    <xf numFmtId="0" fontId="2" fillId="0" borderId="5" xfId="0" applyFont="1" applyBorder="1" applyProtection="1">
      <protection locked="0"/>
    </xf>
    <xf numFmtId="0" fontId="2" fillId="0" borderId="7" xfId="0" applyFont="1" applyBorder="1" applyProtection="1">
      <protection locked="0"/>
    </xf>
    <xf numFmtId="0" fontId="2" fillId="0" borderId="6" xfId="0" applyFont="1" applyBorder="1" applyProtection="1">
      <protection locked="0"/>
    </xf>
    <xf numFmtId="0" fontId="2" fillId="0" borderId="9" xfId="0" applyFont="1" applyBorder="1" applyProtection="1">
      <protection locked="0"/>
    </xf>
    <xf numFmtId="0" fontId="2" fillId="2" borderId="3" xfId="0" applyFont="1" applyFill="1" applyBorder="1"/>
    <xf numFmtId="0" fontId="2" fillId="2" borderId="10" xfId="0" applyFont="1" applyFill="1" applyBorder="1"/>
    <xf numFmtId="0" fontId="2" fillId="5" borderId="22" xfId="0" applyFont="1" applyFill="1" applyBorder="1"/>
    <xf numFmtId="0" fontId="2" fillId="5" borderId="17" xfId="0" applyFont="1" applyFill="1" applyBorder="1"/>
    <xf numFmtId="0" fontId="2" fillId="5" borderId="16" xfId="0" applyFont="1" applyFill="1" applyBorder="1" applyAlignment="1">
      <alignment horizontal="left" indent="1"/>
    </xf>
    <xf numFmtId="9" fontId="2" fillId="5" borderId="19" xfId="0" applyNumberFormat="1" applyFont="1" applyFill="1" applyBorder="1"/>
    <xf numFmtId="0" fontId="2" fillId="5" borderId="3" xfId="0" applyFont="1" applyFill="1" applyBorder="1" applyAlignment="1">
      <alignment horizontal="left" indent="1"/>
    </xf>
    <xf numFmtId="9" fontId="2" fillId="5" borderId="21" xfId="0" applyNumberFormat="1" applyFont="1" applyFill="1" applyBorder="1"/>
    <xf numFmtId="0" fontId="2" fillId="5" borderId="11" xfId="0" applyFont="1" applyFill="1" applyBorder="1"/>
    <xf numFmtId="9" fontId="2" fillId="5" borderId="21" xfId="0" applyNumberFormat="1" applyFont="1" applyFill="1" applyBorder="1" applyAlignment="1">
      <alignment horizontal="right"/>
    </xf>
    <xf numFmtId="0" fontId="2" fillId="5" borderId="12" xfId="0" applyFont="1" applyFill="1" applyBorder="1" applyAlignment="1">
      <alignment horizontal="left" indent="1"/>
    </xf>
    <xf numFmtId="9" fontId="2" fillId="5" borderId="6" xfId="0" applyNumberFormat="1" applyFont="1" applyFill="1" applyBorder="1" applyAlignment="1">
      <alignment horizontal="right"/>
    </xf>
    <xf numFmtId="0" fontId="2" fillId="5" borderId="4" xfId="0" applyFont="1" applyFill="1" applyBorder="1"/>
    <xf numFmtId="0" fontId="2" fillId="5" borderId="19" xfId="0" applyFont="1" applyFill="1" applyBorder="1"/>
    <xf numFmtId="0" fontId="2" fillId="5" borderId="21" xfId="0" applyFont="1" applyFill="1" applyBorder="1"/>
    <xf numFmtId="0" fontId="2" fillId="5" borderId="6" xfId="0" applyFont="1" applyFill="1" applyBorder="1"/>
    <xf numFmtId="0" fontId="2" fillId="5" borderId="1" xfId="0" applyFont="1" applyFill="1" applyBorder="1" applyAlignment="1">
      <alignment horizontal="center" textRotation="90" wrapText="1"/>
    </xf>
    <xf numFmtId="0" fontId="2" fillId="5" borderId="1" xfId="0" applyFont="1" applyFill="1" applyBorder="1" applyAlignment="1">
      <alignment horizontal="center" wrapText="1"/>
    </xf>
    <xf numFmtId="0" fontId="2" fillId="5" borderId="1" xfId="0" applyFont="1" applyFill="1" applyBorder="1" applyAlignment="1">
      <alignment horizontal="center" vertical="center" textRotation="90" wrapText="1"/>
    </xf>
    <xf numFmtId="168" fontId="2" fillId="5" borderId="1" xfId="0" applyNumberFormat="1" applyFont="1" applyFill="1" applyBorder="1" applyAlignment="1">
      <alignment horizontal="center" textRotation="90" wrapText="1"/>
    </xf>
    <xf numFmtId="171" fontId="2" fillId="5" borderId="1" xfId="0" applyNumberFormat="1" applyFont="1" applyFill="1" applyBorder="1" applyAlignment="1">
      <alignment horizontal="center" textRotation="90" wrapText="1"/>
    </xf>
    <xf numFmtId="0" fontId="2" fillId="0" borderId="23" xfId="0" applyFont="1" applyBorder="1" applyAlignment="1">
      <alignment textRotation="90"/>
    </xf>
    <xf numFmtId="0" fontId="2" fillId="0" borderId="24" xfId="0" applyFont="1" applyBorder="1" applyAlignment="1">
      <alignment textRotation="90"/>
    </xf>
    <xf numFmtId="0" fontId="2" fillId="0" borderId="25" xfId="0" applyFont="1" applyBorder="1" applyAlignment="1">
      <alignment textRotation="90"/>
    </xf>
    <xf numFmtId="0" fontId="2" fillId="0" borderId="26" xfId="0" applyFont="1" applyBorder="1" applyAlignment="1">
      <alignment textRotation="90"/>
    </xf>
    <xf numFmtId="0" fontId="2" fillId="0" borderId="27" xfId="0" applyFont="1" applyBorder="1" applyAlignment="1">
      <alignment textRotation="90"/>
    </xf>
    <xf numFmtId="0" fontId="2" fillId="0" borderId="28" xfId="0" applyFont="1" applyBorder="1" applyAlignment="1">
      <alignment textRotation="90"/>
    </xf>
    <xf numFmtId="0" fontId="2" fillId="2" borderId="0" xfId="0" applyFont="1" applyFill="1" applyAlignment="1" applyProtection="1">
      <alignment horizontal="center"/>
      <protection locked="0"/>
    </xf>
    <xf numFmtId="164" fontId="2" fillId="2" borderId="0" xfId="0" applyNumberFormat="1" applyFont="1" applyFill="1" applyAlignment="1">
      <alignment horizontal="left"/>
    </xf>
    <xf numFmtId="164" fontId="2" fillId="2" borderId="0" xfId="0" applyNumberFormat="1" applyFont="1" applyFill="1" applyAlignment="1">
      <alignment horizontal="center"/>
    </xf>
    <xf numFmtId="164" fontId="2" fillId="2" borderId="0" xfId="0" applyNumberFormat="1" applyFont="1" applyFill="1" applyAlignment="1" applyProtection="1">
      <alignment horizontal="center"/>
      <protection locked="0"/>
    </xf>
    <xf numFmtId="14" fontId="2" fillId="2" borderId="0" xfId="0" applyNumberFormat="1" applyFont="1" applyFill="1" applyAlignment="1" applyProtection="1">
      <alignment horizontal="center"/>
      <protection locked="0"/>
    </xf>
    <xf numFmtId="1" fontId="2" fillId="2" borderId="0" xfId="0" applyNumberFormat="1" applyFont="1" applyFill="1" applyAlignment="1" applyProtection="1">
      <alignment horizontal="center"/>
      <protection locked="0"/>
    </xf>
    <xf numFmtId="14" fontId="2" fillId="2" borderId="0" xfId="0" applyNumberFormat="1" applyFont="1" applyFill="1" applyAlignment="1">
      <alignment horizontal="left"/>
    </xf>
    <xf numFmtId="0" fontId="2" fillId="4" borderId="2" xfId="0" applyFont="1" applyFill="1" applyBorder="1" applyAlignment="1">
      <alignment horizontal="left"/>
    </xf>
    <xf numFmtId="0" fontId="2" fillId="4" borderId="2" xfId="0" applyFont="1" applyFill="1" applyBorder="1"/>
    <xf numFmtId="164" fontId="2" fillId="4" borderId="2" xfId="0" applyNumberFormat="1" applyFont="1" applyFill="1" applyBorder="1"/>
    <xf numFmtId="164" fontId="2" fillId="2" borderId="0" xfId="0" applyNumberFormat="1" applyFont="1" applyFill="1"/>
    <xf numFmtId="14" fontId="2" fillId="2" borderId="0" xfId="0" applyNumberFormat="1" applyFont="1" applyFill="1" applyProtection="1">
      <protection locked="0"/>
    </xf>
    <xf numFmtId="1" fontId="2" fillId="2" borderId="0" xfId="0" applyNumberFormat="1" applyFont="1" applyFill="1" applyProtection="1">
      <protection locked="0"/>
    </xf>
    <xf numFmtId="164" fontId="2" fillId="2" borderId="0" xfId="0" applyNumberFormat="1" applyFont="1" applyFill="1" applyProtection="1">
      <protection locked="0"/>
    </xf>
    <xf numFmtId="0" fontId="2" fillId="2" borderId="0" xfId="0" applyFont="1" applyFill="1" applyProtection="1">
      <protection locked="0"/>
    </xf>
    <xf numFmtId="164" fontId="2" fillId="2" borderId="0" xfId="0" applyNumberFormat="1" applyFont="1" applyFill="1" applyAlignment="1">
      <alignment horizontal="center" wrapText="1"/>
    </xf>
    <xf numFmtId="14" fontId="2" fillId="2" borderId="0" xfId="0" applyNumberFormat="1" applyFont="1" applyFill="1"/>
    <xf numFmtId="14" fontId="2" fillId="4" borderId="2" xfId="0" applyNumberFormat="1" applyFont="1" applyFill="1" applyBorder="1" applyAlignment="1">
      <alignment horizontal="left"/>
    </xf>
    <xf numFmtId="0" fontId="2" fillId="2" borderId="1" xfId="0" applyFont="1" applyFill="1" applyBorder="1" applyAlignment="1">
      <alignment horizontal="left" wrapText="1"/>
    </xf>
    <xf numFmtId="0" fontId="2" fillId="2" borderId="1" xfId="0" applyFont="1" applyFill="1" applyBorder="1" applyAlignment="1">
      <alignment horizontal="center" textRotation="90" wrapText="1"/>
    </xf>
    <xf numFmtId="164" fontId="2" fillId="2" borderId="1" xfId="0" applyNumberFormat="1" applyFont="1" applyFill="1" applyBorder="1" applyAlignment="1">
      <alignment horizontal="center" textRotation="90" wrapText="1"/>
    </xf>
    <xf numFmtId="14" fontId="2" fillId="2" borderId="1" xfId="0" applyNumberFormat="1" applyFont="1" applyFill="1" applyBorder="1" applyAlignment="1">
      <alignment horizontal="center" textRotation="90" wrapText="1"/>
    </xf>
    <xf numFmtId="1" fontId="2" fillId="2" borderId="1" xfId="0" applyNumberFormat="1" applyFont="1" applyFill="1" applyBorder="1" applyAlignment="1">
      <alignment horizontal="center" textRotation="90" wrapText="1"/>
    </xf>
    <xf numFmtId="0" fontId="2" fillId="2" borderId="1" xfId="0" applyFont="1" applyFill="1" applyBorder="1" applyAlignment="1" applyProtection="1">
      <alignment horizontal="left" vertical="center"/>
      <protection locked="0"/>
    </xf>
    <xf numFmtId="0" fontId="2" fillId="2" borderId="0" xfId="0" applyFont="1" applyFill="1" applyAlignment="1" applyProtection="1">
      <alignment horizontal="left" wrapText="1"/>
      <protection locked="0"/>
    </xf>
    <xf numFmtId="0" fontId="2" fillId="4" borderId="0" xfId="0" applyFont="1" applyFill="1" applyProtection="1">
      <protection locked="0"/>
    </xf>
    <xf numFmtId="14" fontId="2" fillId="0" borderId="0" xfId="0" applyNumberFormat="1" applyFont="1" applyProtection="1">
      <protection locked="0"/>
    </xf>
    <xf numFmtId="164" fontId="2" fillId="0" borderId="0" xfId="0" applyNumberFormat="1" applyFont="1" applyProtection="1">
      <protection locked="0"/>
    </xf>
    <xf numFmtId="164" fontId="2" fillId="4" borderId="0" xfId="0" applyNumberFormat="1" applyFont="1" applyFill="1" applyProtection="1">
      <protection locked="0"/>
    </xf>
    <xf numFmtId="14" fontId="2" fillId="4" borderId="0" xfId="0" applyNumberFormat="1" applyFont="1" applyFill="1" applyProtection="1">
      <protection locked="0"/>
    </xf>
    <xf numFmtId="1" fontId="2" fillId="4" borderId="0" xfId="0" applyNumberFormat="1" applyFont="1" applyFill="1" applyProtection="1">
      <protection locked="0"/>
    </xf>
    <xf numFmtId="0" fontId="2" fillId="0" borderId="0" xfId="0" applyFont="1" applyAlignment="1" applyProtection="1">
      <alignment wrapText="1"/>
      <protection locked="0"/>
    </xf>
    <xf numFmtId="0" fontId="2" fillId="0" borderId="0" xfId="0" applyFont="1" applyAlignment="1" applyProtection="1">
      <alignment horizontal="left" indent="1"/>
      <protection locked="0"/>
    </xf>
    <xf numFmtId="164" fontId="2" fillId="2" borderId="0" xfId="0" applyNumberFormat="1" applyFont="1" applyFill="1" applyAlignment="1">
      <alignment horizontal="right" wrapText="1"/>
    </xf>
    <xf numFmtId="14" fontId="2" fillId="2" borderId="0" xfId="0" applyNumberFormat="1" applyFont="1" applyFill="1" applyAlignment="1">
      <alignment horizontal="center"/>
    </xf>
    <xf numFmtId="164" fontId="2" fillId="4" borderId="2" xfId="0" applyNumberFormat="1" applyFont="1" applyFill="1" applyBorder="1" applyAlignment="1">
      <alignment horizontal="left"/>
    </xf>
    <xf numFmtId="164" fontId="2" fillId="4" borderId="2" xfId="0" applyNumberFormat="1" applyFont="1" applyFill="1" applyBorder="1" applyAlignment="1">
      <alignment horizontal="center"/>
    </xf>
    <xf numFmtId="19" fontId="2" fillId="2" borderId="0" xfId="0" applyNumberFormat="1" applyFont="1" applyFill="1" applyAlignment="1">
      <alignment horizontal="center"/>
    </xf>
    <xf numFmtId="164" fontId="2" fillId="2" borderId="0" xfId="0" applyNumberFormat="1" applyFont="1" applyFill="1" applyAlignment="1">
      <alignment horizontal="right"/>
    </xf>
    <xf numFmtId="164" fontId="2" fillId="4" borderId="18" xfId="0" applyNumberFormat="1" applyFont="1" applyFill="1" applyBorder="1"/>
    <xf numFmtId="164" fontId="2" fillId="4" borderId="0" xfId="0" applyNumberFormat="1" applyFont="1" applyFill="1"/>
    <xf numFmtId="14" fontId="2" fillId="2" borderId="1" xfId="0" applyNumberFormat="1" applyFont="1" applyFill="1" applyBorder="1" applyAlignment="1">
      <alignment horizontal="center"/>
    </xf>
    <xf numFmtId="164" fontId="2" fillId="2" borderId="1" xfId="0" applyNumberFormat="1" applyFont="1" applyFill="1" applyBorder="1" applyAlignment="1">
      <alignment horizontal="center"/>
    </xf>
    <xf numFmtId="0" fontId="2" fillId="2" borderId="0" xfId="0" applyFont="1" applyFill="1" applyAlignment="1">
      <alignment horizontal="left" wrapText="1"/>
    </xf>
    <xf numFmtId="14" fontId="2" fillId="4" borderId="0" xfId="0" applyNumberFormat="1" applyFont="1" applyFill="1"/>
    <xf numFmtId="0" fontId="2" fillId="4" borderId="0" xfId="0" applyFont="1" applyFill="1"/>
    <xf numFmtId="164" fontId="2" fillId="0" borderId="0" xfId="0" applyNumberFormat="1" applyFont="1"/>
    <xf numFmtId="0" fontId="2" fillId="2" borderId="1" xfId="7" applyFont="1" applyFill="1" applyBorder="1" applyAlignment="1">
      <alignment horizontal="center" wrapText="1"/>
    </xf>
    <xf numFmtId="171" fontId="2" fillId="2" borderId="1" xfId="7" applyNumberFormat="1" applyFont="1" applyFill="1" applyBorder="1" applyAlignment="1">
      <alignment horizontal="center" wrapText="1"/>
    </xf>
    <xf numFmtId="21" fontId="2" fillId="2" borderId="1" xfId="7" applyNumberFormat="1" applyFont="1" applyFill="1" applyBorder="1" applyAlignment="1">
      <alignment horizontal="center" wrapText="1"/>
    </xf>
    <xf numFmtId="164" fontId="2" fillId="2" borderId="1" xfId="7" applyNumberFormat="1" applyFont="1" applyFill="1" applyBorder="1" applyAlignment="1">
      <alignment horizontal="center" wrapText="1"/>
    </xf>
    <xf numFmtId="167" fontId="2" fillId="0" borderId="0" xfId="0" applyNumberFormat="1" applyFont="1" applyProtection="1">
      <protection locked="0"/>
    </xf>
    <xf numFmtId="21" fontId="2" fillId="0" borderId="0" xfId="0" applyNumberFormat="1" applyFont="1" applyProtection="1">
      <protection locked="0"/>
    </xf>
    <xf numFmtId="171" fontId="2" fillId="0" borderId="0" xfId="0" applyNumberFormat="1" applyFont="1" applyProtection="1">
      <protection locked="0"/>
    </xf>
    <xf numFmtId="164" fontId="2" fillId="0" borderId="0" xfId="7" applyNumberFormat="1" applyFont="1" applyProtection="1">
      <protection locked="0"/>
    </xf>
    <xf numFmtId="0" fontId="2" fillId="0" borderId="0" xfId="6" applyFont="1" applyProtection="1">
      <protection locked="0"/>
    </xf>
    <xf numFmtId="171" fontId="2" fillId="0" borderId="0" xfId="6" applyNumberFormat="1" applyFont="1" applyProtection="1">
      <protection locked="0"/>
    </xf>
    <xf numFmtId="21" fontId="2" fillId="0" borderId="0" xfId="6" applyNumberFormat="1" applyFont="1" applyProtection="1">
      <protection locked="0"/>
    </xf>
    <xf numFmtId="164" fontId="2" fillId="0" borderId="0" xfId="6" applyNumberFormat="1" applyFont="1" applyProtection="1">
      <protection locked="0"/>
    </xf>
    <xf numFmtId="21" fontId="2" fillId="0" borderId="0" xfId="7" applyNumberFormat="1" applyFont="1" applyProtection="1">
      <protection locked="0"/>
    </xf>
    <xf numFmtId="164" fontId="2" fillId="4" borderId="0" xfId="7" applyNumberFormat="1" applyFont="1" applyFill="1" applyProtection="1">
      <protection locked="0"/>
    </xf>
    <xf numFmtId="2" fontId="2" fillId="0" borderId="0" xfId="0" applyNumberFormat="1" applyFont="1" applyProtection="1">
      <protection locked="0"/>
    </xf>
    <xf numFmtId="0" fontId="2" fillId="0" borderId="0" xfId="7" applyFont="1" applyProtection="1">
      <protection locked="0"/>
    </xf>
    <xf numFmtId="167" fontId="2" fillId="0" borderId="0" xfId="6" applyNumberFormat="1" applyFont="1" applyProtection="1">
      <protection locked="0"/>
    </xf>
    <xf numFmtId="0" fontId="2" fillId="0" borderId="0" xfId="7" applyFont="1" applyAlignment="1" applyProtection="1">
      <alignment wrapText="1"/>
      <protection locked="0"/>
    </xf>
    <xf numFmtId="164" fontId="2" fillId="0" borderId="0" xfId="7" applyNumberFormat="1" applyFont="1" applyAlignment="1" applyProtection="1">
      <alignment wrapText="1"/>
      <protection locked="0"/>
    </xf>
    <xf numFmtId="171" fontId="2" fillId="0" borderId="0" xfId="7" applyNumberFormat="1" applyFont="1" applyProtection="1">
      <protection locked="0"/>
    </xf>
    <xf numFmtId="167" fontId="2" fillId="0" borderId="0" xfId="7" applyNumberFormat="1" applyFont="1" applyProtection="1">
      <protection locked="0"/>
    </xf>
    <xf numFmtId="14" fontId="2" fillId="2" borderId="1" xfId="7" applyNumberFormat="1" applyFont="1" applyFill="1" applyBorder="1" applyAlignment="1">
      <alignment horizontal="center" wrapText="1"/>
    </xf>
    <xf numFmtId="14" fontId="2" fillId="0" borderId="0" xfId="6" applyNumberFormat="1" applyFont="1" applyProtection="1">
      <protection locked="0"/>
    </xf>
    <xf numFmtId="0" fontId="2" fillId="2" borderId="0" xfId="7" applyFont="1" applyFill="1"/>
    <xf numFmtId="164" fontId="1" fillId="2" borderId="0" xfId="0" applyNumberFormat="1" applyFont="1" applyFill="1"/>
    <xf numFmtId="0" fontId="1" fillId="2" borderId="0" xfId="0" applyFont="1" applyFill="1" applyAlignment="1">
      <alignment horizontal="right"/>
    </xf>
    <xf numFmtId="0" fontId="2" fillId="2" borderId="0" xfId="0" applyFont="1" applyFill="1" applyAlignment="1">
      <alignment wrapText="1"/>
    </xf>
    <xf numFmtId="14" fontId="2" fillId="4" borderId="2" xfId="0" applyNumberFormat="1" applyFont="1" applyFill="1" applyBorder="1"/>
    <xf numFmtId="0" fontId="2" fillId="4" borderId="14" xfId="0" applyFont="1" applyFill="1" applyBorder="1" applyAlignment="1">
      <alignment horizontal="left"/>
    </xf>
    <xf numFmtId="0" fontId="2" fillId="4" borderId="14" xfId="0" applyFont="1" applyFill="1" applyBorder="1"/>
    <xf numFmtId="1" fontId="2" fillId="2" borderId="0" xfId="0" applyNumberFormat="1" applyFont="1" applyFill="1"/>
    <xf numFmtId="1" fontId="2" fillId="2" borderId="1" xfId="7" applyNumberFormat="1" applyFont="1" applyFill="1" applyBorder="1" applyAlignment="1">
      <alignment horizontal="center" wrapText="1"/>
    </xf>
    <xf numFmtId="1" fontId="2" fillId="0" borderId="0" xfId="0" applyNumberFormat="1" applyFont="1" applyAlignment="1" applyProtection="1">
      <alignment vertical="top"/>
      <protection locked="0"/>
    </xf>
    <xf numFmtId="14" fontId="2" fillId="0" borderId="0" xfId="0" applyNumberFormat="1" applyFont="1" applyAlignment="1" applyProtection="1">
      <alignment vertical="top"/>
      <protection locked="0"/>
    </xf>
    <xf numFmtId="167" fontId="2" fillId="0" borderId="0" xfId="0" applyNumberFormat="1" applyFont="1" applyAlignment="1" applyProtection="1">
      <alignment vertical="top"/>
      <protection locked="0"/>
    </xf>
    <xf numFmtId="0" fontId="2" fillId="0" borderId="0" xfId="0" applyFont="1" applyAlignment="1" applyProtection="1">
      <alignment vertical="top"/>
      <protection locked="0"/>
    </xf>
    <xf numFmtId="0" fontId="2" fillId="4" borderId="2" xfId="0" applyFont="1" applyFill="1" applyBorder="1" applyAlignment="1">
      <alignment vertical="top"/>
    </xf>
    <xf numFmtId="0" fontId="2" fillId="4" borderId="2" xfId="0" applyFont="1" applyFill="1" applyBorder="1" applyAlignment="1">
      <alignment vertical="top" wrapText="1"/>
    </xf>
    <xf numFmtId="0" fontId="2" fillId="4" borderId="0" xfId="0" applyFont="1" applyFill="1" applyAlignment="1">
      <alignment horizontal="left"/>
    </xf>
    <xf numFmtId="0" fontId="2" fillId="2" borderId="13" xfId="0" applyFont="1" applyFill="1" applyBorder="1" applyAlignment="1">
      <alignment horizontal="center"/>
    </xf>
    <xf numFmtId="0" fontId="2" fillId="2" borderId="14" xfId="0" applyFont="1" applyFill="1" applyBorder="1" applyAlignment="1">
      <alignment horizontal="center"/>
    </xf>
    <xf numFmtId="0" fontId="2" fillId="2" borderId="15" xfId="0" applyFont="1" applyFill="1" applyBorder="1" applyAlignment="1">
      <alignment horizontal="center"/>
    </xf>
    <xf numFmtId="0" fontId="2" fillId="2" borderId="16" xfId="0" applyFont="1" applyFill="1" applyBorder="1" applyProtection="1">
      <protection locked="0"/>
    </xf>
    <xf numFmtId="9" fontId="2" fillId="0" borderId="22" xfId="0" applyNumberFormat="1" applyFont="1" applyBorder="1" applyProtection="1">
      <protection locked="0"/>
    </xf>
    <xf numFmtId="0" fontId="2" fillId="2" borderId="17" xfId="0" applyFont="1" applyFill="1" applyBorder="1" applyProtection="1">
      <protection locked="0"/>
    </xf>
    <xf numFmtId="0" fontId="2" fillId="2" borderId="3" xfId="0" applyFont="1" applyFill="1" applyBorder="1" applyProtection="1">
      <protection locked="0"/>
    </xf>
    <xf numFmtId="9" fontId="2" fillId="0" borderId="0" xfId="0" applyNumberFormat="1" applyFont="1" applyProtection="1">
      <protection locked="0"/>
    </xf>
    <xf numFmtId="0" fontId="2" fillId="2" borderId="11" xfId="0" applyFont="1" applyFill="1" applyBorder="1" applyProtection="1">
      <protection locked="0"/>
    </xf>
    <xf numFmtId="0" fontId="2" fillId="2" borderId="12" xfId="0" applyFont="1" applyFill="1" applyBorder="1" applyProtection="1">
      <protection locked="0"/>
    </xf>
    <xf numFmtId="9" fontId="2" fillId="0" borderId="2" xfId="0" applyNumberFormat="1" applyFont="1" applyBorder="1" applyProtection="1">
      <protection locked="0"/>
    </xf>
    <xf numFmtId="0" fontId="2" fillId="2" borderId="4" xfId="0" applyFont="1" applyFill="1" applyBorder="1" applyProtection="1">
      <protection locked="0"/>
    </xf>
    <xf numFmtId="168" fontId="2" fillId="0" borderId="0" xfId="0" applyNumberFormat="1" applyFont="1" applyAlignment="1" applyProtection="1">
      <alignment horizontal="center"/>
      <protection locked="0"/>
    </xf>
    <xf numFmtId="168" fontId="2" fillId="0" borderId="0" xfId="0" applyNumberFormat="1" applyFont="1" applyProtection="1">
      <protection locked="0"/>
    </xf>
    <xf numFmtId="171" fontId="2" fillId="4" borderId="0" xfId="0" applyNumberFormat="1" applyFont="1" applyFill="1" applyProtection="1">
      <protection locked="0"/>
    </xf>
    <xf numFmtId="0" fontId="2" fillId="2" borderId="2" xfId="0" applyFont="1" applyFill="1" applyBorder="1" applyAlignment="1">
      <alignment horizontal="center"/>
    </xf>
    <xf numFmtId="164" fontId="2" fillId="4" borderId="2" xfId="0" applyNumberFormat="1" applyFont="1" applyFill="1" applyBorder="1"/>
    <xf numFmtId="0" fontId="11" fillId="2" borderId="16" xfId="0" applyFont="1" applyFill="1" applyBorder="1" applyAlignment="1">
      <alignment horizontal="center"/>
    </xf>
    <xf numFmtId="0" fontId="11" fillId="2" borderId="22" xfId="0" applyFont="1" applyFill="1" applyBorder="1" applyAlignment="1">
      <alignment horizontal="center"/>
    </xf>
    <xf numFmtId="0" fontId="11" fillId="2" borderId="17" xfId="0" applyFont="1" applyFill="1" applyBorder="1" applyAlignment="1">
      <alignment horizontal="center"/>
    </xf>
    <xf numFmtId="0" fontId="19" fillId="2" borderId="0" xfId="0" applyFont="1" applyFill="1" applyAlignment="1">
      <alignment horizontal="left" vertical="top" wrapText="1"/>
    </xf>
    <xf numFmtId="0" fontId="24" fillId="2" borderId="0" xfId="0" applyFont="1" applyFill="1" applyAlignment="1">
      <alignment horizontal="center" vertical="top" wrapText="1"/>
    </xf>
    <xf numFmtId="0" fontId="12" fillId="2" borderId="0" xfId="0" applyFont="1" applyFill="1" applyAlignment="1">
      <alignment horizontal="left" vertical="top"/>
    </xf>
    <xf numFmtId="0" fontId="2" fillId="2" borderId="14" xfId="0" applyFont="1" applyFill="1" applyBorder="1" applyAlignment="1">
      <alignment horizontal="center" wrapText="1"/>
    </xf>
    <xf numFmtId="0" fontId="2" fillId="2" borderId="15" xfId="0" applyFont="1" applyFill="1" applyBorder="1" applyAlignment="1">
      <alignment horizontal="center" wrapText="1"/>
    </xf>
    <xf numFmtId="0" fontId="2" fillId="2" borderId="13" xfId="0" applyFont="1" applyFill="1" applyBorder="1" applyAlignment="1">
      <alignment horizontal="center" wrapText="1"/>
    </xf>
    <xf numFmtId="0" fontId="5" fillId="4" borderId="2" xfId="0" applyFont="1" applyFill="1" applyBorder="1" applyAlignment="1">
      <alignment horizontal="left"/>
    </xf>
    <xf numFmtId="0" fontId="5" fillId="4" borderId="0" xfId="0" applyFont="1" applyFill="1" applyAlignment="1">
      <alignment horizontal="left"/>
    </xf>
    <xf numFmtId="0" fontId="5" fillId="2" borderId="0" xfId="0" applyFont="1" applyFill="1" applyAlignment="1">
      <alignment horizontal="left"/>
    </xf>
    <xf numFmtId="0" fontId="5" fillId="4" borderId="14" xfId="0" applyFont="1" applyFill="1" applyBorder="1" applyAlignment="1">
      <alignment horizontal="left"/>
    </xf>
    <xf numFmtId="0" fontId="5" fillId="4" borderId="22" xfId="0" applyFont="1" applyFill="1" applyBorder="1" applyAlignment="1">
      <alignment horizontal="left"/>
    </xf>
    <xf numFmtId="14" fontId="5" fillId="4" borderId="14" xfId="0" applyNumberFormat="1" applyFont="1" applyFill="1" applyBorder="1" applyAlignment="1">
      <alignment horizontal="left"/>
    </xf>
    <xf numFmtId="164" fontId="5" fillId="4" borderId="14" xfId="0" applyNumberFormat="1" applyFont="1" applyFill="1" applyBorder="1" applyAlignment="1">
      <alignment horizontal="left"/>
    </xf>
    <xf numFmtId="14" fontId="5" fillId="4" borderId="2" xfId="0" applyNumberFormat="1" applyFont="1" applyFill="1" applyBorder="1" applyAlignment="1">
      <alignment horizontal="left"/>
    </xf>
    <xf numFmtId="14" fontId="0" fillId="0" borderId="2" xfId="0" applyNumberFormat="1" applyBorder="1" applyAlignment="1">
      <alignment horizontal="left"/>
    </xf>
    <xf numFmtId="164" fontId="0" fillId="0" borderId="14" xfId="0" applyNumberFormat="1" applyBorder="1" applyAlignment="1">
      <alignment horizontal="left"/>
    </xf>
    <xf numFmtId="0" fontId="21" fillId="2" borderId="0" xfId="0" applyFont="1" applyFill="1" applyAlignment="1">
      <alignment horizontal="center"/>
    </xf>
    <xf numFmtId="0" fontId="2" fillId="4" borderId="2" xfId="0" applyFont="1" applyFill="1" applyBorder="1" applyAlignment="1">
      <alignment horizontal="left"/>
    </xf>
    <xf numFmtId="0" fontId="2" fillId="4" borderId="14" xfId="0" applyFont="1" applyFill="1" applyBorder="1" applyAlignment="1">
      <alignment horizontal="left"/>
    </xf>
  </cellXfs>
  <cellStyles count="9">
    <cellStyle name="Grey" xfId="1" xr:uid="{A0A9C07D-6004-445D-B90C-B28AC397F702}"/>
    <cellStyle name="Hipervínculo" xfId="2" builtinId="8"/>
    <cellStyle name="Input [yellow]" xfId="3" xr:uid="{CA9304B9-29F1-4982-89F5-9D8E00750A96}"/>
    <cellStyle name="no dec" xfId="4" xr:uid="{E2EE899B-4347-4984-A44D-09BAF64A7B95}"/>
    <cellStyle name="Normal" xfId="0" builtinId="0"/>
    <cellStyle name="Normal - Style1" xfId="5" xr:uid="{20B50BB0-C51B-4500-9965-CD489F98B370}"/>
    <cellStyle name="Normal_Stuwbk97vBr1.10" xfId="6" xr:uid="{B6380012-C761-439C-945F-7743F3518ACF}"/>
    <cellStyle name="Normal_Stuwbk97vBr1.11" xfId="7" xr:uid="{F07FCF67-DD00-4BD6-AAF9-A7FB43B62123}"/>
    <cellStyle name="Percent [2]" xfId="8" xr:uid="{E82E0F51-6B5E-43B6-8AE4-DE2D4ED9E6A7}"/>
  </cellStyles>
  <dxfs count="0"/>
  <tableStyles count="1" defaultTableStyle="TableStyleMedium2" defaultPivotStyle="PivotStyleLight16">
    <tableStyle name="Invisible" pivot="0" table="0" count="0" xr9:uid="{E6C24F6F-C429-4073-A18B-1EA871CF9A7C}"/>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Cumulative Earned Value</a:t>
            </a:r>
          </a:p>
        </c:rich>
      </c:tx>
      <c:layout>
        <c:manualLayout>
          <c:xMode val="edge"/>
          <c:yMode val="edge"/>
          <c:x val="0.38264611474314464"/>
          <c:y val="3.0023202428849996E-2"/>
        </c:manualLayout>
      </c:layout>
      <c:overlay val="0"/>
      <c:spPr>
        <a:noFill/>
        <a:ln w="25400">
          <a:noFill/>
        </a:ln>
      </c:spPr>
    </c:title>
    <c:autoTitleDeleted val="0"/>
    <c:plotArea>
      <c:layout>
        <c:manualLayout>
          <c:layoutTarget val="inner"/>
          <c:xMode val="edge"/>
          <c:yMode val="edge"/>
          <c:x val="8.8193517870897797E-2"/>
          <c:y val="0.1501156427220639"/>
          <c:w val="0.5889051032024466"/>
          <c:h val="0.73903085647785305"/>
        </c:manualLayout>
      </c:layout>
      <c:lineChart>
        <c:grouping val="standard"/>
        <c:varyColors val="0"/>
        <c:ser>
          <c:idx val="0"/>
          <c:order val="0"/>
          <c:tx>
            <c:strRef>
              <c:f>Schedule!$H$7</c:f>
              <c:strCache>
                <c:ptCount val="1"/>
                <c:pt idx="0">
                  <c:v>Cumulative Planned Value</c:v>
                </c:pt>
              </c:strCache>
            </c:strRef>
          </c:tx>
          <c:spPr>
            <a:ln w="12700">
              <a:solidFill>
                <a:srgbClr val="0000FF"/>
              </a:solidFill>
              <a:prstDash val="solid"/>
            </a:ln>
          </c:spPr>
          <c:marker>
            <c:symbol val="diamond"/>
            <c:size val="4"/>
            <c:spPr>
              <a:solidFill>
                <a:srgbClr val="0000FF"/>
              </a:solidFill>
              <a:ln>
                <a:solidFill>
                  <a:srgbClr val="0000FF"/>
                </a:solidFill>
                <a:prstDash val="solid"/>
              </a:ln>
            </c:spPr>
          </c:marker>
          <c:cat>
            <c:numRef>
              <c:f>Schedule!$A$8:$A$15</c:f>
              <c:numCache>
                <c:formatCode>m/d/yyyy</c:formatCode>
                <c:ptCount val="8"/>
                <c:pt idx="0">
                  <c:v>46148</c:v>
                </c:pt>
                <c:pt idx="1">
                  <c:v>46155</c:v>
                </c:pt>
                <c:pt idx="2">
                  <c:v>46162</c:v>
                </c:pt>
                <c:pt idx="3">
                  <c:v>46169</c:v>
                </c:pt>
                <c:pt idx="4">
                  <c:v>46176</c:v>
                </c:pt>
                <c:pt idx="5">
                  <c:v>46183</c:v>
                </c:pt>
                <c:pt idx="6">
                  <c:v>46190</c:v>
                </c:pt>
                <c:pt idx="7">
                  <c:v>46197</c:v>
                </c:pt>
              </c:numCache>
            </c:numRef>
          </c:cat>
          <c:val>
            <c:numRef>
              <c:f>Schedule!$H$8:$H$15</c:f>
              <c:numCache>
                <c:formatCode>0.0</c:formatCode>
                <c:ptCount val="8"/>
                <c:pt idx="0">
                  <c:v>15.104166666666664</c:v>
                </c:pt>
                <c:pt idx="1">
                  <c:v>32.291666666666664</c:v>
                </c:pt>
                <c:pt idx="2">
                  <c:v>56.770833333333329</c:v>
                </c:pt>
                <c:pt idx="3">
                  <c:v>83.854166666666657</c:v>
                </c:pt>
                <c:pt idx="4">
                  <c:v>99.999999999999986</c:v>
                </c:pt>
                <c:pt idx="5">
                  <c:v>99.999999999999986</c:v>
                </c:pt>
                <c:pt idx="6">
                  <c:v>99.999999999999986</c:v>
                </c:pt>
                <c:pt idx="7">
                  <c:v>99.999999999999986</c:v>
                </c:pt>
              </c:numCache>
            </c:numRef>
          </c:val>
          <c:smooth val="0"/>
          <c:extLst>
            <c:ext xmlns:c16="http://schemas.microsoft.com/office/drawing/2014/chart" uri="{C3380CC4-5D6E-409C-BE32-E72D297353CC}">
              <c16:uniqueId val="{00000000-168D-4765-9B7A-FD1D58C3EB19}"/>
            </c:ext>
          </c:extLst>
        </c:ser>
        <c:ser>
          <c:idx val="1"/>
          <c:order val="1"/>
          <c:tx>
            <c:strRef>
              <c:f>Schedule!$J$7</c:f>
              <c:strCache>
                <c:ptCount val="1"/>
                <c:pt idx="0">
                  <c:v>Cumulative EV</c:v>
                </c:pt>
              </c:strCache>
            </c:strRef>
          </c:tx>
          <c:spPr>
            <a:ln w="12700">
              <a:solidFill>
                <a:srgbClr val="FF00FF"/>
              </a:solidFill>
              <a:prstDash val="solid"/>
            </a:ln>
          </c:spPr>
          <c:marker>
            <c:symbol val="square"/>
            <c:size val="4"/>
            <c:spPr>
              <a:solidFill>
                <a:srgbClr val="FF00FF"/>
              </a:solidFill>
              <a:ln>
                <a:solidFill>
                  <a:srgbClr val="FF00FF"/>
                </a:solidFill>
                <a:prstDash val="solid"/>
              </a:ln>
            </c:spPr>
          </c:marker>
          <c:cat>
            <c:numRef>
              <c:f>Schedule!$A$8:$A$15</c:f>
              <c:numCache>
                <c:formatCode>m/d/yyyy</c:formatCode>
                <c:ptCount val="8"/>
                <c:pt idx="0">
                  <c:v>46148</c:v>
                </c:pt>
                <c:pt idx="1">
                  <c:v>46155</c:v>
                </c:pt>
                <c:pt idx="2">
                  <c:v>46162</c:v>
                </c:pt>
                <c:pt idx="3">
                  <c:v>46169</c:v>
                </c:pt>
                <c:pt idx="4">
                  <c:v>46176</c:v>
                </c:pt>
                <c:pt idx="5">
                  <c:v>46183</c:v>
                </c:pt>
                <c:pt idx="6">
                  <c:v>46190</c:v>
                </c:pt>
                <c:pt idx="7">
                  <c:v>46197</c:v>
                </c:pt>
              </c:numCache>
            </c:numRef>
          </c:cat>
          <c:val>
            <c:numRef>
              <c:f>Schedule!$J$8:$J$15</c:f>
              <c:numCache>
                <c:formatCode>0.0</c:formatCode>
                <c:ptCount val="8"/>
                <c:pt idx="0">
                  <c:v>0</c:v>
                </c:pt>
                <c:pt idx="1">
                  <c:v>0</c:v>
                </c:pt>
                <c:pt idx="2">
                  <c:v>0</c:v>
                </c:pt>
              </c:numCache>
            </c:numRef>
          </c:val>
          <c:smooth val="0"/>
          <c:extLst>
            <c:ext xmlns:c16="http://schemas.microsoft.com/office/drawing/2014/chart" uri="{C3380CC4-5D6E-409C-BE32-E72D297353CC}">
              <c16:uniqueId val="{00000001-168D-4765-9B7A-FD1D58C3EB19}"/>
            </c:ext>
          </c:extLst>
        </c:ser>
        <c:ser>
          <c:idx val="2"/>
          <c:order val="2"/>
          <c:tx>
            <c:strRef>
              <c:f>Schedule!$N$7</c:f>
              <c:strCache>
                <c:ptCount val="1"/>
                <c:pt idx="0">
                  <c:v>Cumulative Predicted Earned Value</c:v>
                </c:pt>
              </c:strCache>
            </c:strRef>
          </c:tx>
          <c:spPr>
            <a:ln w="12700">
              <a:solidFill>
                <a:srgbClr val="00FF00"/>
              </a:solidFill>
              <a:prstDash val="solid"/>
            </a:ln>
          </c:spPr>
          <c:marker>
            <c:symbol val="triangle"/>
            <c:size val="3"/>
            <c:spPr>
              <a:solidFill>
                <a:srgbClr val="00FF00"/>
              </a:solidFill>
              <a:ln>
                <a:solidFill>
                  <a:srgbClr val="00FF00"/>
                </a:solidFill>
                <a:prstDash val="solid"/>
              </a:ln>
            </c:spPr>
          </c:marker>
          <c:cat>
            <c:numRef>
              <c:f>Schedule!$A$8:$A$15</c:f>
              <c:numCache>
                <c:formatCode>m/d/yyyy</c:formatCode>
                <c:ptCount val="8"/>
                <c:pt idx="0">
                  <c:v>46148</c:v>
                </c:pt>
                <c:pt idx="1">
                  <c:v>46155</c:v>
                </c:pt>
                <c:pt idx="2">
                  <c:v>46162</c:v>
                </c:pt>
                <c:pt idx="3">
                  <c:v>46169</c:v>
                </c:pt>
                <c:pt idx="4">
                  <c:v>46176</c:v>
                </c:pt>
                <c:pt idx="5">
                  <c:v>46183</c:v>
                </c:pt>
                <c:pt idx="6">
                  <c:v>46190</c:v>
                </c:pt>
                <c:pt idx="7">
                  <c:v>46197</c:v>
                </c:pt>
              </c:numCache>
            </c:numRef>
          </c:cat>
          <c:val>
            <c:numRef>
              <c:f>Schedule!$N$8:$N$15</c:f>
              <c:numCache>
                <c:formatCode>0.0</c:formatCode>
                <c:ptCount val="8"/>
              </c:numCache>
            </c:numRef>
          </c:val>
          <c:smooth val="0"/>
          <c:extLst>
            <c:ext xmlns:c16="http://schemas.microsoft.com/office/drawing/2014/chart" uri="{C3380CC4-5D6E-409C-BE32-E72D297353CC}">
              <c16:uniqueId val="{00000002-168D-4765-9B7A-FD1D58C3EB19}"/>
            </c:ext>
          </c:extLst>
        </c:ser>
        <c:ser>
          <c:idx val="3"/>
          <c:order val="3"/>
          <c:tx>
            <c:strRef>
              <c:f>Schedule!$R$7</c:f>
              <c:strCache>
                <c:ptCount val="1"/>
                <c:pt idx="0">
                  <c:v>Baseline Cumulative Plan Value</c:v>
                </c:pt>
              </c:strCache>
            </c:strRef>
          </c:tx>
          <c:spPr>
            <a:ln w="12700">
              <a:solidFill>
                <a:srgbClr val="000000"/>
              </a:solidFill>
              <a:prstDash val="solid"/>
            </a:ln>
          </c:spPr>
          <c:marker>
            <c:symbol val="circle"/>
            <c:size val="2"/>
            <c:spPr>
              <a:solidFill>
                <a:srgbClr val="000000"/>
              </a:solidFill>
              <a:ln>
                <a:solidFill>
                  <a:srgbClr val="000000"/>
                </a:solidFill>
                <a:prstDash val="solid"/>
              </a:ln>
            </c:spPr>
          </c:marker>
          <c:cat>
            <c:numRef>
              <c:f>Schedule!$A$8:$A$15</c:f>
              <c:numCache>
                <c:formatCode>m/d/yyyy</c:formatCode>
                <c:ptCount val="8"/>
                <c:pt idx="0">
                  <c:v>46148</c:v>
                </c:pt>
                <c:pt idx="1">
                  <c:v>46155</c:v>
                </c:pt>
                <c:pt idx="2">
                  <c:v>46162</c:v>
                </c:pt>
                <c:pt idx="3">
                  <c:v>46169</c:v>
                </c:pt>
                <c:pt idx="4">
                  <c:v>46176</c:v>
                </c:pt>
                <c:pt idx="5">
                  <c:v>46183</c:v>
                </c:pt>
                <c:pt idx="6">
                  <c:v>46190</c:v>
                </c:pt>
                <c:pt idx="7">
                  <c:v>46197</c:v>
                </c:pt>
              </c:numCache>
            </c:numRef>
          </c:cat>
          <c:val>
            <c:numRef>
              <c:f>Schedule!$R$8:$R$15</c:f>
              <c:numCache>
                <c:formatCode>0.0</c:formatCode>
                <c:ptCount val="8"/>
              </c:numCache>
            </c:numRef>
          </c:val>
          <c:smooth val="0"/>
          <c:extLst>
            <c:ext xmlns:c16="http://schemas.microsoft.com/office/drawing/2014/chart" uri="{C3380CC4-5D6E-409C-BE32-E72D297353CC}">
              <c16:uniqueId val="{00000003-168D-4765-9B7A-FD1D58C3EB19}"/>
            </c:ext>
          </c:extLst>
        </c:ser>
        <c:dLbls>
          <c:showLegendKey val="0"/>
          <c:showVal val="0"/>
          <c:showCatName val="0"/>
          <c:showSerName val="0"/>
          <c:showPercent val="0"/>
          <c:showBubbleSize val="0"/>
        </c:dLbls>
        <c:marker val="1"/>
        <c:smooth val="0"/>
        <c:axId val="365689184"/>
        <c:axId val="1"/>
      </c:lineChart>
      <c:dateAx>
        <c:axId val="36568918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Weeks</a:t>
                </a:r>
              </a:p>
            </c:rich>
          </c:tx>
          <c:layout>
            <c:manualLayout>
              <c:xMode val="edge"/>
              <c:yMode val="edge"/>
              <c:x val="0.35277411662976405"/>
              <c:y val="0.91686002024041668"/>
            </c:manualLayout>
          </c:layout>
          <c:overlay val="0"/>
          <c:spPr>
            <a:noFill/>
            <a:ln w="25400">
              <a:noFill/>
            </a:ln>
          </c:spPr>
        </c:title>
        <c:numFmt formatCode="m/d/yyyy"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
        <c:crosses val="autoZero"/>
        <c:auto val="1"/>
        <c:lblOffset val="100"/>
        <c:baseTimeUnit val="days"/>
      </c:dateAx>
      <c:valAx>
        <c:axId val="1"/>
        <c:scaling>
          <c:orientation val="minMax"/>
          <c:max val="100"/>
          <c:min val="0"/>
        </c:scaling>
        <c:delete val="0"/>
        <c:axPos val="l"/>
        <c:title>
          <c:tx>
            <c:rich>
              <a:bodyPr/>
              <a:lstStyle/>
              <a:p>
                <a:pPr>
                  <a:defRPr sz="800" b="1" i="0" u="none" strike="noStrike" baseline="0">
                    <a:solidFill>
                      <a:srgbClr val="000000"/>
                    </a:solidFill>
                    <a:latin typeface="Arial"/>
                    <a:ea typeface="Arial"/>
                    <a:cs typeface="Arial"/>
                  </a:defRPr>
                </a:pPr>
                <a:r>
                  <a:rPr lang="en-US"/>
                  <a:t>Earned Value</a:t>
                </a:r>
              </a:p>
            </c:rich>
          </c:tx>
          <c:layout>
            <c:manualLayout>
              <c:xMode val="edge"/>
              <c:yMode val="edge"/>
              <c:x val="2.2759573938449039E-2"/>
              <c:y val="0.43187125120331749"/>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5689184"/>
        <c:crosses val="autoZero"/>
        <c:crossBetween val="midCat"/>
      </c:valAx>
      <c:spPr>
        <a:noFill/>
        <a:ln w="25400">
          <a:noFill/>
        </a:ln>
      </c:spPr>
    </c:plotArea>
    <c:legend>
      <c:legendPos val="r"/>
      <c:layout>
        <c:manualLayout>
          <c:xMode val="edge"/>
          <c:yMode val="edge"/>
          <c:x val="0.70527837943995009"/>
          <c:y val="0.4330943810856604"/>
          <c:w val="0.2264911471740596"/>
          <c:h val="0.17320819746016597"/>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Footer>&amp;Z File: &amp;N ! &amp;A&amp;D&amp;F  &amp;P of &amp;#</c:oddFooter>
    </c:headerFooter>
    <c:pageMargins b="1" l="0.75" r="0.75" t="1" header="0.5" footer="0.5"/>
    <c:pageSetup orientation="landscape"/>
  </c:printSettings>
</c:chartSpace>
</file>

<file path=xl/ctrlProps/ctrlProp1.xml><?xml version="1.0" encoding="utf-8"?>
<formControlPr xmlns="http://schemas.microsoft.com/office/spreadsheetml/2009/9/main" objectType="Drop" dropStyle="combo" dx="39" fmlaRange="Index!$D$3:$D$34"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Drop" dropStyle="combo" dx="39" noThreeD="1" sel="1" val="0">
  <itemLst>
    <item val="SYSTEM"/>
    <item val="Registro"/>
    <item val="Catalogo"/>
    <item val="Busqueda"/>
    <item val="Carrito"/>
  </itemLst>
</formControlPr>
</file>

<file path=xl/ctrlProps/ctrlProp7.xml><?xml version="1.0" encoding="utf-8"?>
<formControlPr xmlns="http://schemas.microsoft.com/office/spreadsheetml/2009/9/main" objectType="Spin" dx="15" fmlaLink="$F$5" max="30000" min="4" page="10" val="8"/>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Style="combo" dx="39" noThreeD="1" sel="1" val="0">
  <itemLst>
    <item val="SYSTEM"/>
    <item val="Registro"/>
    <item val="Catalogo"/>
    <item val="Busqueda"/>
    <item val="Carrito"/>
  </itemLst>
</formControlPr>
</file>

<file path=xl/ctrlProps/ctrlProp15.xml><?xml version="1.0" encoding="utf-8"?>
<formControlPr xmlns="http://schemas.microsoft.com/office/spreadsheetml/2009/9/main" objectType="Drop" dropStyle="combo" dx="39" noThreeD="1" sel="1" val="0">
  <itemLst>
    <item val="SYSTEM"/>
    <item val="Registro"/>
    <item val="Catalogo"/>
    <item val="Busqueda"/>
    <item val="Carrito"/>
  </itemLst>
</formControlPr>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Spin" dx="15" max="30000" min="1" page="10" val="0"/>
</file>

<file path=xl/ctrlProps/ctrlProp21.xml><?xml version="1.0" encoding="utf-8"?>
<formControlPr xmlns="http://schemas.microsoft.com/office/spreadsheetml/2009/9/main" objectType="Spin" dx="15" max="30000" min="1"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173037</xdr:colOff>
      <xdr:row>34</xdr:row>
      <xdr:rowOff>71437</xdr:rowOff>
    </xdr:from>
    <xdr:to>
      <xdr:col>4</xdr:col>
      <xdr:colOff>136542</xdr:colOff>
      <xdr:row>35</xdr:row>
      <xdr:rowOff>61912</xdr:rowOff>
    </xdr:to>
    <xdr:sp macro="" textlink="">
      <xdr:nvSpPr>
        <xdr:cNvPr id="44034" name="Text Box 2">
          <a:extLst>
            <a:ext uri="{FF2B5EF4-FFF2-40B4-BE49-F238E27FC236}">
              <a16:creationId xmlns:a16="http://schemas.microsoft.com/office/drawing/2014/main" id="{39E825D7-5A24-E1F8-8376-D6A0AC503160}"/>
            </a:ext>
          </a:extLst>
        </xdr:cNvPr>
        <xdr:cNvSpPr txBox="1">
          <a:spLocks noChangeArrowheads="1"/>
        </xdr:cNvSpPr>
      </xdr:nvSpPr>
      <xdr:spPr bwMode="auto">
        <a:xfrm>
          <a:off x="4238625" y="5467350"/>
          <a:ext cx="1219200" cy="133350"/>
        </a:xfrm>
        <a:prstGeom prst="rect">
          <a:avLst/>
        </a:prstGeom>
        <a:solidFill>
          <a:srgbClr xmlns:mc="http://schemas.openxmlformats.org/markup-compatibility/2006" xmlns:a14="http://schemas.microsoft.com/office/drawing/2010/main" val="C0C0C0" mc:Ignorable="a14" a14:legacySpreadsheetColorIndex="22"/>
        </a:solidFill>
        <a:ln>
          <a:noFill/>
        </a:ln>
      </xdr:spPr>
      <xdr:txBody>
        <a:bodyPr vertOverflow="clip" wrap="square" lIns="27432" tIns="18288" rIns="0" bIns="0" anchor="t" upright="1"/>
        <a:lstStyle/>
        <a:p>
          <a:pPr algn="l" rtl="0">
            <a:defRPr sz="1000"/>
          </a:pPr>
          <a:r>
            <a:rPr lang="es-CO" sz="600" b="0" i="0" u="none" strike="noStrike" baseline="0">
              <a:solidFill>
                <a:srgbClr val="000000"/>
              </a:solidFill>
              <a:latin typeface="Times New Roman"/>
              <a:cs typeface="Times New Roman"/>
            </a:rPr>
            <a:t>Copyright 1998 James W. Over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47625</xdr:colOff>
      <xdr:row>7</xdr:row>
      <xdr:rowOff>58738</xdr:rowOff>
    </xdr:from>
    <xdr:to>
      <xdr:col>8</xdr:col>
      <xdr:colOff>177801</xdr:colOff>
      <xdr:row>35</xdr:row>
      <xdr:rowOff>103188</xdr:rowOff>
    </xdr:to>
    <xdr:graphicFrame macro="">
      <xdr:nvGraphicFramePr>
        <xdr:cNvPr id="39" name="ChartEV">
          <a:extLst>
            <a:ext uri="{FF2B5EF4-FFF2-40B4-BE49-F238E27FC236}">
              <a16:creationId xmlns:a16="http://schemas.microsoft.com/office/drawing/2014/main" id="{4B7B766F-CEF4-41EA-6324-CC1D4256F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609600</xdr:colOff>
      <xdr:row>0</xdr:row>
      <xdr:rowOff>52388</xdr:rowOff>
    </xdr:from>
    <xdr:to>
      <xdr:col>6</xdr:col>
      <xdr:colOff>833438</xdr:colOff>
      <xdr:row>0</xdr:row>
      <xdr:rowOff>52388</xdr:rowOff>
    </xdr:to>
    <xdr:sp macro="" textlink="">
      <xdr:nvSpPr>
        <xdr:cNvPr id="33887" name="Rectangle 7">
          <a:extLst>
            <a:ext uri="{FF2B5EF4-FFF2-40B4-BE49-F238E27FC236}">
              <a16:creationId xmlns:a16="http://schemas.microsoft.com/office/drawing/2014/main" id="{32E0F47A-A0A0-4D51-1EEE-5A61C4BA7011}"/>
            </a:ext>
          </a:extLst>
        </xdr:cNvPr>
        <xdr:cNvSpPr>
          <a:spLocks noChangeArrowheads="1"/>
        </xdr:cNvSpPr>
      </xdr:nvSpPr>
      <xdr:spPr bwMode="auto">
        <a:xfrm>
          <a:off x="5643563" y="52388"/>
          <a:ext cx="833437"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604838</xdr:colOff>
      <xdr:row>0</xdr:row>
      <xdr:rowOff>52388</xdr:rowOff>
    </xdr:from>
    <xdr:to>
      <xdr:col>5</xdr:col>
      <xdr:colOff>833438</xdr:colOff>
      <xdr:row>0</xdr:row>
      <xdr:rowOff>52388</xdr:rowOff>
    </xdr:to>
    <xdr:sp macro="" textlink="">
      <xdr:nvSpPr>
        <xdr:cNvPr id="33888" name="Rectangle 9">
          <a:extLst>
            <a:ext uri="{FF2B5EF4-FFF2-40B4-BE49-F238E27FC236}">
              <a16:creationId xmlns:a16="http://schemas.microsoft.com/office/drawing/2014/main" id="{AF7098A9-5A48-54EF-BC6E-A36AD110D2E7}"/>
            </a:ext>
          </a:extLst>
        </xdr:cNvPr>
        <xdr:cNvSpPr>
          <a:spLocks noChangeArrowheads="1"/>
        </xdr:cNvSpPr>
      </xdr:nvSpPr>
      <xdr:spPr bwMode="auto">
        <a:xfrm>
          <a:off x="4867275" y="52388"/>
          <a:ext cx="776288"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4</xdr:col>
          <xdr:colOff>242888</xdr:colOff>
          <xdr:row>5</xdr:row>
          <xdr:rowOff>61913</xdr:rowOff>
        </xdr:from>
        <xdr:to>
          <xdr:col>6</xdr:col>
          <xdr:colOff>814388</xdr:colOff>
          <xdr:row>6</xdr:row>
          <xdr:rowOff>90488</xdr:rowOff>
        </xdr:to>
        <xdr:sp macro="" textlink="">
          <xdr:nvSpPr>
            <xdr:cNvPr id="33804" name="chartIndexDropDown" hidden="1">
              <a:extLst>
                <a:ext uri="{63B3BB69-23CF-44E3-9099-C40C66FF867C}">
                  <a14:compatExt spid="_x0000_s33804"/>
                </a:ext>
                <a:ext uri="{FF2B5EF4-FFF2-40B4-BE49-F238E27FC236}">
                  <a16:creationId xmlns:a16="http://schemas.microsoft.com/office/drawing/2014/main" id="{00000000-0008-0000-0500-00000C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842963</xdr:colOff>
          <xdr:row>4</xdr:row>
          <xdr:rowOff>14288</xdr:rowOff>
        </xdr:from>
        <xdr:to>
          <xdr:col>7</xdr:col>
          <xdr:colOff>147638</xdr:colOff>
          <xdr:row>5</xdr:row>
          <xdr:rowOff>23813</xdr:rowOff>
        </xdr:to>
        <xdr:sp macro="" textlink="">
          <xdr:nvSpPr>
            <xdr:cNvPr id="33811" name="DrawTSPeChart" hidden="1">
              <a:extLst>
                <a:ext uri="{63B3BB69-23CF-44E3-9099-C40C66FF867C}">
                  <a14:compatExt spid="_x0000_s33811"/>
                </a:ext>
                <a:ext uri="{FF2B5EF4-FFF2-40B4-BE49-F238E27FC236}">
                  <a16:creationId xmlns:a16="http://schemas.microsoft.com/office/drawing/2014/main" id="{00000000-0008-0000-0500-000013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Draw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842963</xdr:colOff>
          <xdr:row>5</xdr:row>
          <xdr:rowOff>90488</xdr:rowOff>
        </xdr:from>
        <xdr:to>
          <xdr:col>7</xdr:col>
          <xdr:colOff>147638</xdr:colOff>
          <xdr:row>6</xdr:row>
          <xdr:rowOff>100013</xdr:rowOff>
        </xdr:to>
        <xdr:sp macro="" textlink="">
          <xdr:nvSpPr>
            <xdr:cNvPr id="33826" name="DrawTSPeChart" hidden="1">
              <a:extLst>
                <a:ext uri="{63B3BB69-23CF-44E3-9099-C40C66FF867C}">
                  <a14:compatExt spid="_x0000_s33826"/>
                </a:ext>
                <a:ext uri="{FF2B5EF4-FFF2-40B4-BE49-F238E27FC236}">
                  <a16:creationId xmlns:a16="http://schemas.microsoft.com/office/drawing/2014/main" id="{00000000-0008-0000-0500-00002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Print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280988</xdr:colOff>
          <xdr:row>1</xdr:row>
          <xdr:rowOff>52388</xdr:rowOff>
        </xdr:from>
        <xdr:to>
          <xdr:col>5</xdr:col>
          <xdr:colOff>381000</xdr:colOff>
          <xdr:row>2</xdr:row>
          <xdr:rowOff>100013</xdr:rowOff>
        </xdr:to>
        <xdr:sp macro="" textlink="">
          <xdr:nvSpPr>
            <xdr:cNvPr id="33838" name="CheckBoxUseTRL" hidden="1">
              <a:extLst>
                <a:ext uri="{63B3BB69-23CF-44E3-9099-C40C66FF867C}">
                  <a14:compatExt spid="_x0000_s33838"/>
                </a:ext>
                <a:ext uri="{FF2B5EF4-FFF2-40B4-BE49-F238E27FC236}">
                  <a16:creationId xmlns:a16="http://schemas.microsoft.com/office/drawing/2014/main" id="{00000000-0008-0000-0500-00002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800" b="0" i="0" u="none" strike="noStrike" baseline="0">
                  <a:solidFill>
                    <a:srgbClr val="000000"/>
                  </a:solidFill>
                  <a:latin typeface="Tahoma"/>
                  <a:ea typeface="Tahoma"/>
                  <a:cs typeface="Tahoma"/>
                </a:rPr>
                <a:t>Use 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666750</xdr:colOff>
          <xdr:row>1</xdr:row>
          <xdr:rowOff>52388</xdr:rowOff>
        </xdr:from>
        <xdr:to>
          <xdr:col>6</xdr:col>
          <xdr:colOff>966788</xdr:colOff>
          <xdr:row>2</xdr:row>
          <xdr:rowOff>100013</xdr:rowOff>
        </xdr:to>
        <xdr:sp macro="" textlink="">
          <xdr:nvSpPr>
            <xdr:cNvPr id="33840" name="CheckBoxUseDRL" hidden="1">
              <a:extLst>
                <a:ext uri="{63B3BB69-23CF-44E3-9099-C40C66FF867C}">
                  <a14:compatExt spid="_x0000_s33840"/>
                </a:ext>
                <a:ext uri="{FF2B5EF4-FFF2-40B4-BE49-F238E27FC236}">
                  <a16:creationId xmlns:a16="http://schemas.microsoft.com/office/drawing/2014/main" id="{00000000-0008-0000-0500-00003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800" b="0" i="0" u="none" strike="noStrike" baseline="0">
                  <a:solidFill>
                    <a:srgbClr val="000000"/>
                  </a:solidFill>
                  <a:latin typeface="Tahoma"/>
                  <a:ea typeface="Tahoma"/>
                  <a:cs typeface="Tahoma"/>
                </a:rPr>
                <a:t>Use Defect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176213</xdr:rowOff>
        </xdr:from>
        <xdr:to>
          <xdr:col>2</xdr:col>
          <xdr:colOff>14288</xdr:colOff>
          <xdr:row>6</xdr:row>
          <xdr:rowOff>0</xdr:rowOff>
        </xdr:to>
        <xdr:sp macro="" textlink="">
          <xdr:nvSpPr>
            <xdr:cNvPr id="33846" name="assemblyDropDown" hidden="1">
              <a:extLst>
                <a:ext uri="{63B3BB69-23CF-44E3-9099-C40C66FF867C}">
                  <a14:compatExt spid="_x0000_s33846"/>
                </a:ext>
                <a:ext uri="{FF2B5EF4-FFF2-40B4-BE49-F238E27FC236}">
                  <a16:creationId xmlns:a16="http://schemas.microsoft.com/office/drawing/2014/main" id="{00000000-0008-0000-0500-00003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14288</xdr:colOff>
          <xdr:row>3</xdr:row>
          <xdr:rowOff>176213</xdr:rowOff>
        </xdr:from>
        <xdr:to>
          <xdr:col>6</xdr:col>
          <xdr:colOff>214313</xdr:colOff>
          <xdr:row>5</xdr:row>
          <xdr:rowOff>14288</xdr:rowOff>
        </xdr:to>
        <xdr:sp macro="" textlink="">
          <xdr:nvSpPr>
            <xdr:cNvPr id="33857" name="drawWeeksSpinner" hidden="1">
              <a:extLst>
                <a:ext uri="{63B3BB69-23CF-44E3-9099-C40C66FF867C}">
                  <a14:compatExt spid="_x0000_s33857"/>
                </a:ext>
                <a:ext uri="{FF2B5EF4-FFF2-40B4-BE49-F238E27FC236}">
                  <a16:creationId xmlns:a16="http://schemas.microsoft.com/office/drawing/2014/main" id="{00000000-0008-0000-0500-000041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147638</xdr:colOff>
          <xdr:row>0</xdr:row>
          <xdr:rowOff>147638</xdr:rowOff>
        </xdr:from>
        <xdr:to>
          <xdr:col>8</xdr:col>
          <xdr:colOff>14288</xdr:colOff>
          <xdr:row>2</xdr:row>
          <xdr:rowOff>176213</xdr:rowOff>
        </xdr:to>
        <xdr:sp macro="" textlink="">
          <xdr:nvSpPr>
            <xdr:cNvPr id="33862" name="Group Box 70" hidden="1">
              <a:extLst>
                <a:ext uri="{63B3BB69-23CF-44E3-9099-C40C66FF867C}">
                  <a14:compatExt spid="_x0000_s33862"/>
                </a:ext>
                <a:ext uri="{FF2B5EF4-FFF2-40B4-BE49-F238E27FC236}">
                  <a16:creationId xmlns:a16="http://schemas.microsoft.com/office/drawing/2014/main" id="{00000000-0008-0000-0500-00004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en-GB" sz="800" b="0" i="0" u="none" strike="noStrike" baseline="0">
                  <a:solidFill>
                    <a:srgbClr val="000000"/>
                  </a:solidFill>
                  <a:latin typeface="Tahoma"/>
                  <a:ea typeface="Tahoma"/>
                  <a:cs typeface="Tahoma"/>
                </a:rPr>
                <a:t>Time and Defect Log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128588</xdr:colOff>
          <xdr:row>3</xdr:row>
          <xdr:rowOff>100013</xdr:rowOff>
        </xdr:from>
        <xdr:to>
          <xdr:col>8</xdr:col>
          <xdr:colOff>0</xdr:colOff>
          <xdr:row>6</xdr:row>
          <xdr:rowOff>176213</xdr:rowOff>
        </xdr:to>
        <xdr:sp macro="" textlink="">
          <xdr:nvSpPr>
            <xdr:cNvPr id="33863" name="Group Box 71" hidden="1">
              <a:extLst>
                <a:ext uri="{63B3BB69-23CF-44E3-9099-C40C66FF867C}">
                  <a14:compatExt spid="_x0000_s33863"/>
                </a:ext>
                <a:ext uri="{FF2B5EF4-FFF2-40B4-BE49-F238E27FC236}">
                  <a16:creationId xmlns:a16="http://schemas.microsoft.com/office/drawing/2014/main" id="{00000000-0008-0000-0500-00004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en-GB" sz="800" b="0" i="0" u="none" strike="noStrike" baseline="0">
                  <a:solidFill>
                    <a:srgbClr val="000000"/>
                  </a:solidFill>
                  <a:latin typeface="Tahoma"/>
                  <a:ea typeface="Tahoma"/>
                  <a:cs typeface="Tahoma"/>
                </a:rPr>
                <a:t>Chart Controls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261938</xdr:colOff>
          <xdr:row>4</xdr:row>
          <xdr:rowOff>0</xdr:rowOff>
        </xdr:from>
        <xdr:to>
          <xdr:col>6</xdr:col>
          <xdr:colOff>800100</xdr:colOff>
          <xdr:row>5</xdr:row>
          <xdr:rowOff>23813</xdr:rowOff>
        </xdr:to>
        <xdr:sp macro="" textlink="">
          <xdr:nvSpPr>
            <xdr:cNvPr id="33864" name="Button 72" hidden="1">
              <a:extLst>
                <a:ext uri="{63B3BB69-23CF-44E3-9099-C40C66FF867C}">
                  <a14:compatExt spid="_x0000_s33864"/>
                </a:ext>
                <a:ext uri="{FF2B5EF4-FFF2-40B4-BE49-F238E27FC236}">
                  <a16:creationId xmlns:a16="http://schemas.microsoft.com/office/drawing/2014/main" id="{00000000-0008-0000-0500-000048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Max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9525</xdr:colOff>
      <xdr:row>23</xdr:row>
      <xdr:rowOff>0</xdr:rowOff>
    </xdr:from>
    <xdr:to>
      <xdr:col>2</xdr:col>
      <xdr:colOff>104775</xdr:colOff>
      <xdr:row>31</xdr:row>
      <xdr:rowOff>9525</xdr:rowOff>
    </xdr:to>
    <xdr:sp macro="" textlink="">
      <xdr:nvSpPr>
        <xdr:cNvPr id="36886" name="Rectangle 9">
          <a:extLst>
            <a:ext uri="{FF2B5EF4-FFF2-40B4-BE49-F238E27FC236}">
              <a16:creationId xmlns:a16="http://schemas.microsoft.com/office/drawing/2014/main" id="{C7DD04CD-5992-C4ED-855E-F2A27BDD1A63}"/>
            </a:ext>
          </a:extLst>
        </xdr:cNvPr>
        <xdr:cNvSpPr>
          <a:spLocks noChangeArrowheads="1"/>
        </xdr:cNvSpPr>
      </xdr:nvSpPr>
      <xdr:spPr bwMode="auto">
        <a:xfrm>
          <a:off x="271463" y="1414463"/>
          <a:ext cx="1785937" cy="1038225"/>
        </a:xfrm>
        <a:prstGeom prst="rect">
          <a:avLst/>
        </a:prstGeom>
        <a:solidFill>
          <a:srgbClr xmlns:mc="http://schemas.openxmlformats.org/markup-compatibility/2006" xmlns:a14="http://schemas.microsoft.com/office/drawing/2010/main" val="969696" mc:Ignorable="a14" a14:legacySpreadsheetColorIndex="55"/>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13500000" algn="ctr" rotWithShape="0">
                  <a:srgbClr val="5A5A5A"/>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1</xdr:col>
          <xdr:colOff>109538</xdr:colOff>
          <xdr:row>26</xdr:row>
          <xdr:rowOff>57150</xdr:rowOff>
        </xdr:from>
        <xdr:to>
          <xdr:col>2</xdr:col>
          <xdr:colOff>0</xdr:colOff>
          <xdr:row>30</xdr:row>
          <xdr:rowOff>109538</xdr:rowOff>
        </xdr:to>
        <xdr:sp macro="" textlink="">
          <xdr:nvSpPr>
            <xdr:cNvPr id="36874" name="Button 10"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Make copies of workbook for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109538</xdr:colOff>
          <xdr:row>23</xdr:row>
          <xdr:rowOff>52388</xdr:rowOff>
        </xdr:from>
        <xdr:to>
          <xdr:col>2</xdr:col>
          <xdr:colOff>33338</xdr:colOff>
          <xdr:row>24</xdr:row>
          <xdr:rowOff>119063</xdr:rowOff>
        </xdr:to>
        <xdr:sp macro="" textlink="">
          <xdr:nvSpPr>
            <xdr:cNvPr id="36878" name="ConsolidationMode" hidden="1">
              <a:extLst>
                <a:ext uri="{63B3BB69-23CF-44E3-9099-C40C66FF867C}">
                  <a14:compatExt spid="_x0000_s36878"/>
                </a:ext>
                <a:ext uri="{FF2B5EF4-FFF2-40B4-BE49-F238E27FC236}">
                  <a16:creationId xmlns:a16="http://schemas.microsoft.com/office/drawing/2014/main" id="{00000000-0008-0000-06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36576" tIns="27432" rIns="0" bIns="27432" anchor="ctr" upright="1"/>
            <a:lstStyle/>
            <a:p>
              <a:pPr algn="l" rtl="0">
                <a:defRPr sz="1000"/>
              </a:pPr>
              <a:r>
                <a:rPr lang="en-GB" sz="800" b="0" i="0" u="none" strike="noStrike" baseline="0">
                  <a:solidFill>
                    <a:srgbClr val="000000"/>
                  </a:solidFill>
                  <a:latin typeface="Tahoma"/>
                  <a:ea typeface="Tahoma"/>
                  <a:cs typeface="Tahoma"/>
                </a:rPr>
                <a:t>Consolidation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109538</xdr:colOff>
          <xdr:row>23</xdr:row>
          <xdr:rowOff>52388</xdr:rowOff>
        </xdr:from>
        <xdr:to>
          <xdr:col>2</xdr:col>
          <xdr:colOff>0</xdr:colOff>
          <xdr:row>26</xdr:row>
          <xdr:rowOff>14288</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Consolidate Plans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2138363</xdr:colOff>
          <xdr:row>3</xdr:row>
          <xdr:rowOff>0</xdr:rowOff>
        </xdr:from>
        <xdr:to>
          <xdr:col>6</xdr:col>
          <xdr:colOff>23813</xdr:colOff>
          <xdr:row>4</xdr:row>
          <xdr:rowOff>38100</xdr:rowOff>
        </xdr:to>
        <xdr:sp macro="" textlink="">
          <xdr:nvSpPr>
            <xdr:cNvPr id="56327" name="assemblyDropDown" hidden="1">
              <a:extLst>
                <a:ext uri="{63B3BB69-23CF-44E3-9099-C40C66FF867C}">
                  <a14:compatExt spid="_x0000_s56327"/>
                </a:ext>
                <a:ext uri="{FF2B5EF4-FFF2-40B4-BE49-F238E27FC236}">
                  <a16:creationId xmlns:a16="http://schemas.microsoft.com/office/drawing/2014/main" id="{00000000-0008-0000-0900-000007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2176463</xdr:colOff>
          <xdr:row>3</xdr:row>
          <xdr:rowOff>0</xdr:rowOff>
        </xdr:from>
        <xdr:to>
          <xdr:col>6</xdr:col>
          <xdr:colOff>23813</xdr:colOff>
          <xdr:row>4</xdr:row>
          <xdr:rowOff>38100</xdr:rowOff>
        </xdr:to>
        <xdr:sp macro="" textlink="">
          <xdr:nvSpPr>
            <xdr:cNvPr id="57349" name="assemblyDropDown" hidden="1">
              <a:extLst>
                <a:ext uri="{63B3BB69-23CF-44E3-9099-C40C66FF867C}">
                  <a14:compatExt spid="_x0000_s57349"/>
                </a:ext>
                <a:ext uri="{FF2B5EF4-FFF2-40B4-BE49-F238E27FC236}">
                  <a16:creationId xmlns:a16="http://schemas.microsoft.com/office/drawing/2014/main" id="{00000000-0008-0000-0A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128588</xdr:colOff>
      <xdr:row>80</xdr:row>
      <xdr:rowOff>0</xdr:rowOff>
    </xdr:from>
    <xdr:to>
      <xdr:col>9</xdr:col>
      <xdr:colOff>9525</xdr:colOff>
      <xdr:row>84</xdr:row>
      <xdr:rowOff>14288</xdr:rowOff>
    </xdr:to>
    <xdr:sp macro="" textlink="">
      <xdr:nvSpPr>
        <xdr:cNvPr id="57368" name="Rectangle 6">
          <a:extLst>
            <a:ext uri="{FF2B5EF4-FFF2-40B4-BE49-F238E27FC236}">
              <a16:creationId xmlns:a16="http://schemas.microsoft.com/office/drawing/2014/main" id="{9FE583ED-9D8A-26A2-3960-9EE10B39F7A4}"/>
            </a:ext>
          </a:extLst>
        </xdr:cNvPr>
        <xdr:cNvSpPr>
          <a:spLocks noChangeArrowheads="1"/>
        </xdr:cNvSpPr>
      </xdr:nvSpPr>
      <xdr:spPr bwMode="auto">
        <a:xfrm>
          <a:off x="4567238" y="12982575"/>
          <a:ext cx="1185862" cy="661988"/>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7</xdr:col>
          <xdr:colOff>204788</xdr:colOff>
          <xdr:row>80</xdr:row>
          <xdr:rowOff>61913</xdr:rowOff>
        </xdr:from>
        <xdr:to>
          <xdr:col>8</xdr:col>
          <xdr:colOff>681038</xdr:colOff>
          <xdr:row>83</xdr:row>
          <xdr:rowOff>100013</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A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Transfer Defect Injection Rate Guidelines to Plan</a:t>
              </a:r>
            </a:p>
          </xdr:txBody>
        </xdr:sp>
        <xdr:clientData fPrintsWithSheet="0"/>
      </xdr:twoCellAnchor>
    </mc:Choice>
    <mc:Fallback/>
  </mc:AlternateContent>
  <xdr:twoCellAnchor>
    <xdr:from>
      <xdr:col>7</xdr:col>
      <xdr:colOff>128588</xdr:colOff>
      <xdr:row>53</xdr:row>
      <xdr:rowOff>0</xdr:rowOff>
    </xdr:from>
    <xdr:to>
      <xdr:col>9</xdr:col>
      <xdr:colOff>9525</xdr:colOff>
      <xdr:row>57</xdr:row>
      <xdr:rowOff>14288</xdr:rowOff>
    </xdr:to>
    <xdr:sp macro="" textlink="">
      <xdr:nvSpPr>
        <xdr:cNvPr id="57369" name="Rectangle 8">
          <a:extLst>
            <a:ext uri="{FF2B5EF4-FFF2-40B4-BE49-F238E27FC236}">
              <a16:creationId xmlns:a16="http://schemas.microsoft.com/office/drawing/2014/main" id="{C45FF3F6-2EE4-24F4-28DF-B19D77F9DF75}"/>
            </a:ext>
          </a:extLst>
        </xdr:cNvPr>
        <xdr:cNvSpPr>
          <a:spLocks noChangeArrowheads="1"/>
        </xdr:cNvSpPr>
      </xdr:nvSpPr>
      <xdr:spPr bwMode="auto">
        <a:xfrm>
          <a:off x="4567238" y="8610600"/>
          <a:ext cx="1185862" cy="661988"/>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7</xdr:col>
          <xdr:colOff>204788</xdr:colOff>
          <xdr:row>53</xdr:row>
          <xdr:rowOff>61913</xdr:rowOff>
        </xdr:from>
        <xdr:to>
          <xdr:col>8</xdr:col>
          <xdr:colOff>681038</xdr:colOff>
          <xdr:row>56</xdr:row>
          <xdr:rowOff>100013</xdr:rowOff>
        </xdr:to>
        <xdr:sp macro="" textlink="">
          <xdr:nvSpPr>
            <xdr:cNvPr id="57353" name="Button 9" hidden="1">
              <a:extLst>
                <a:ext uri="{63B3BB69-23CF-44E3-9099-C40C66FF867C}">
                  <a14:compatExt spid="_x0000_s57353"/>
                </a:ext>
                <a:ext uri="{FF2B5EF4-FFF2-40B4-BE49-F238E27FC236}">
                  <a16:creationId xmlns:a16="http://schemas.microsoft.com/office/drawing/2014/main" id="{00000000-0008-0000-0A00-000009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Transfer Phase Yield Guidelines to Plan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47625</xdr:colOff>
      <xdr:row>6</xdr:row>
      <xdr:rowOff>28575</xdr:rowOff>
    </xdr:from>
    <xdr:to>
      <xdr:col>2</xdr:col>
      <xdr:colOff>2000250</xdr:colOff>
      <xdr:row>6</xdr:row>
      <xdr:rowOff>609600</xdr:rowOff>
    </xdr:to>
    <xdr:sp macro="" textlink="">
      <xdr:nvSpPr>
        <xdr:cNvPr id="32460" name="Rectangle 16">
          <a:extLst>
            <a:ext uri="{FF2B5EF4-FFF2-40B4-BE49-F238E27FC236}">
              <a16:creationId xmlns:a16="http://schemas.microsoft.com/office/drawing/2014/main" id="{3FF3DA57-F4A7-34A2-3FEC-A304A820F8F3}"/>
            </a:ext>
          </a:extLst>
        </xdr:cNvPr>
        <xdr:cNvSpPr>
          <a:spLocks noChangeArrowheads="1"/>
        </xdr:cNvSpPr>
      </xdr:nvSpPr>
      <xdr:spPr bwMode="auto">
        <a:xfrm>
          <a:off x="1700213" y="957263"/>
          <a:ext cx="1952625" cy="581025"/>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2</xdr:col>
          <xdr:colOff>966788</xdr:colOff>
          <xdr:row>6</xdr:row>
          <xdr:rowOff>138113</xdr:rowOff>
        </xdr:from>
        <xdr:to>
          <xdr:col>2</xdr:col>
          <xdr:colOff>1976438</xdr:colOff>
          <xdr:row>6</xdr:row>
          <xdr:rowOff>490538</xdr:rowOff>
        </xdr:to>
        <xdr:sp macro="" textlink="">
          <xdr:nvSpPr>
            <xdr:cNvPr id="31750" name="UpdateTaskSched" hidden="1">
              <a:extLst>
                <a:ext uri="{63B3BB69-23CF-44E3-9099-C40C66FF867C}">
                  <a14:compatExt spid="_x0000_s31750"/>
                </a:ext>
                <a:ext uri="{FF2B5EF4-FFF2-40B4-BE49-F238E27FC236}">
                  <a16:creationId xmlns:a16="http://schemas.microsoft.com/office/drawing/2014/main" id="{00000000-0008-0000-0D00-000006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Update Task  and Schedule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109538</xdr:colOff>
          <xdr:row>6</xdr:row>
          <xdr:rowOff>128588</xdr:rowOff>
        </xdr:from>
        <xdr:to>
          <xdr:col>2</xdr:col>
          <xdr:colOff>890588</xdr:colOff>
          <xdr:row>6</xdr:row>
          <xdr:rowOff>476250</xdr:rowOff>
        </xdr:to>
        <xdr:sp macro="" textlink="">
          <xdr:nvSpPr>
            <xdr:cNvPr id="31751" name="GenerateTaskList" hidden="1">
              <a:extLst>
                <a:ext uri="{63B3BB69-23CF-44E3-9099-C40C66FF867C}">
                  <a14:compatExt spid="_x0000_s31751"/>
                </a:ext>
                <a:ext uri="{FF2B5EF4-FFF2-40B4-BE49-F238E27FC236}">
                  <a16:creationId xmlns:a16="http://schemas.microsoft.com/office/drawing/2014/main" id="{00000000-0008-0000-0D00-000007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Generate Task List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52388</xdr:colOff>
          <xdr:row>3</xdr:row>
          <xdr:rowOff>14288</xdr:rowOff>
        </xdr:from>
        <xdr:to>
          <xdr:col>2</xdr:col>
          <xdr:colOff>133350</xdr:colOff>
          <xdr:row>4</xdr:row>
          <xdr:rowOff>0</xdr:rowOff>
        </xdr:to>
        <xdr:sp macro="" textlink="">
          <xdr:nvSpPr>
            <xdr:cNvPr id="65571" name="weekSelector" hidden="1">
              <a:extLst>
                <a:ext uri="{63B3BB69-23CF-44E3-9099-C40C66FF867C}">
                  <a14:compatExt spid="_x0000_s65571"/>
                </a:ext>
                <a:ext uri="{FF2B5EF4-FFF2-40B4-BE49-F238E27FC236}">
                  <a16:creationId xmlns:a16="http://schemas.microsoft.com/office/drawing/2014/main" id="{00000000-0008-0000-1200-000023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14288</xdr:colOff>
          <xdr:row>3</xdr:row>
          <xdr:rowOff>0</xdr:rowOff>
        </xdr:from>
        <xdr:to>
          <xdr:col>4</xdr:col>
          <xdr:colOff>52388</xdr:colOff>
          <xdr:row>4</xdr:row>
          <xdr:rowOff>23813</xdr:rowOff>
        </xdr:to>
        <xdr:sp macro="" textlink="">
          <xdr:nvSpPr>
            <xdr:cNvPr id="67586" name="weekSelector" hidden="1">
              <a:extLst>
                <a:ext uri="{63B3BB69-23CF-44E3-9099-C40C66FF867C}">
                  <a14:compatExt spid="_x0000_s67586"/>
                </a:ext>
                <a:ext uri="{FF2B5EF4-FFF2-40B4-BE49-F238E27FC236}">
                  <a16:creationId xmlns:a16="http://schemas.microsoft.com/office/drawing/2014/main" id="{00000000-0008-0000-1400-000002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166688</xdr:colOff>
          <xdr:row>1</xdr:row>
          <xdr:rowOff>52388</xdr:rowOff>
        </xdr:from>
        <xdr:to>
          <xdr:col>3</xdr:col>
          <xdr:colOff>604838</xdr:colOff>
          <xdr:row>4</xdr:row>
          <xdr:rowOff>80963</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1500-000002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Restore Defect Type Defaults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15</xdr:col>
      <xdr:colOff>33337</xdr:colOff>
      <xdr:row>1</xdr:row>
      <xdr:rowOff>28575</xdr:rowOff>
    </xdr:from>
    <xdr:to>
      <xdr:col>15</xdr:col>
      <xdr:colOff>219483</xdr:colOff>
      <xdr:row>9</xdr:row>
      <xdr:rowOff>100013</xdr:rowOff>
    </xdr:to>
    <xdr:sp macro="" textlink="">
      <xdr:nvSpPr>
        <xdr:cNvPr id="47115" name="Text Box 11">
          <a:extLst>
            <a:ext uri="{FF2B5EF4-FFF2-40B4-BE49-F238E27FC236}">
              <a16:creationId xmlns:a16="http://schemas.microsoft.com/office/drawing/2014/main" id="{94A62FFF-A641-29EB-5F3E-64655CE59815}"/>
            </a:ext>
          </a:extLst>
        </xdr:cNvPr>
        <xdr:cNvSpPr txBox="1">
          <a:spLocks noChangeArrowheads="1"/>
        </xdr:cNvSpPr>
      </xdr:nvSpPr>
      <xdr:spPr bwMode="auto">
        <a:xfrm>
          <a:off x="8458200" y="885825"/>
          <a:ext cx="171450" cy="1219200"/>
        </a:xfrm>
        <a:prstGeom prst="rect">
          <a:avLst/>
        </a:prstGeom>
        <a:solidFill>
          <a:srgbClr xmlns:mc="http://schemas.openxmlformats.org/markup-compatibility/2006" xmlns:a14="http://schemas.microsoft.com/office/drawing/2010/main" val="C0C0C0" mc:Ignorable="a14" a14:legacySpreadsheetColorIndex="22"/>
        </a:solidFill>
        <a:ln>
          <a:noFill/>
        </a:ln>
      </xdr:spPr>
      <xdr:txBody>
        <a:bodyPr vertOverflow="clip" vert="vert" wrap="square" lIns="27432" tIns="18288" rIns="0" bIns="0" anchor="b" upright="1"/>
        <a:lstStyle/>
        <a:p>
          <a:pPr algn="l" rtl="0">
            <a:defRPr sz="1000"/>
          </a:pPr>
          <a:r>
            <a:rPr lang="es-CO" sz="600" b="0" i="0" u="none" strike="noStrike" baseline="0">
              <a:solidFill>
                <a:srgbClr val="000000"/>
              </a:solidFill>
              <a:latin typeface="Times New Roman"/>
              <a:cs typeface="Times New Roman"/>
            </a:rPr>
            <a:t>Copyright 1998 James W. Over</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61913</xdr:colOff>
          <xdr:row>6</xdr:row>
          <xdr:rowOff>80963</xdr:rowOff>
        </xdr:from>
        <xdr:to>
          <xdr:col>3</xdr:col>
          <xdr:colOff>0</xdr:colOff>
          <xdr:row>10</xdr:row>
          <xdr:rowOff>95250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1700-000003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800" b="0" i="0" u="none" strike="noStrike" baseline="0">
                  <a:solidFill>
                    <a:srgbClr val="000000"/>
                  </a:solidFill>
                  <a:latin typeface="Arial"/>
                  <a:cs typeface="Arial"/>
                </a:rPr>
                <a:t>Restore Qprofile Parameter Defaults</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wrap="none" lIns="18288" tIns="0" rIns="0" bIns="0" upright="1">
        <a:spAutoFit/>
      </a:body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F0F77-178A-4886-A72C-BEB8A2162139}">
  <sheetPr codeName="INDEX"/>
  <dimension ref="A1:L37"/>
  <sheetViews>
    <sheetView showRowColHeaders="0" workbookViewId="0">
      <selection activeCell="D17" sqref="D17"/>
    </sheetView>
  </sheetViews>
  <sheetFormatPr baseColWidth="10" defaultColWidth="9.1328125" defaultRowHeight="10.15" x14ac:dyDescent="0.3"/>
  <cols>
    <col min="1" max="1" width="18.73046875" style="17" customWidth="1"/>
    <col min="2" max="2" width="40.73046875" style="4" customWidth="1"/>
    <col min="3" max="3" width="1.73046875" style="4" customWidth="1"/>
    <col min="4" max="4" width="18.73046875" style="17" customWidth="1"/>
    <col min="5" max="5" width="40.73046875" style="4" customWidth="1"/>
    <col min="6" max="6" width="30.3984375" style="4" customWidth="1"/>
    <col min="7" max="16384" width="9.1328125" style="4"/>
  </cols>
  <sheetData>
    <row r="1" spans="1:12" s="14" customFormat="1" ht="17.649999999999999" x14ac:dyDescent="0.5">
      <c r="A1" s="341" t="s">
        <v>0</v>
      </c>
      <c r="B1" s="342"/>
      <c r="C1" s="342"/>
      <c r="D1" s="342"/>
      <c r="E1" s="343"/>
      <c r="L1" s="15"/>
    </row>
    <row r="2" spans="1:12" s="16" customFormat="1" x14ac:dyDescent="0.3">
      <c r="A2" s="159" t="s">
        <v>1</v>
      </c>
      <c r="B2" s="160" t="s">
        <v>2</v>
      </c>
      <c r="C2" s="160"/>
      <c r="D2" s="160" t="s">
        <v>3</v>
      </c>
      <c r="E2" s="161" t="s">
        <v>2</v>
      </c>
      <c r="F2" s="162"/>
      <c r="G2" s="162"/>
      <c r="H2" s="162"/>
      <c r="I2" s="162"/>
      <c r="J2" s="162"/>
      <c r="K2" s="162"/>
      <c r="L2" s="162"/>
    </row>
    <row r="3" spans="1:12" ht="12.75" x14ac:dyDescent="0.35">
      <c r="A3" s="163" t="s">
        <v>4</v>
      </c>
      <c r="B3" s="164"/>
      <c r="C3" s="164"/>
      <c r="D3" s="165" t="s">
        <v>5</v>
      </c>
      <c r="E3" s="166" t="s">
        <v>6</v>
      </c>
      <c r="F3" s="164"/>
      <c r="G3" s="164"/>
      <c r="H3" s="164"/>
      <c r="I3" s="164"/>
      <c r="J3" s="164"/>
      <c r="K3" s="164"/>
      <c r="L3" s="164"/>
    </row>
    <row r="4" spans="1:12" x14ac:dyDescent="0.3">
      <c r="A4" s="31" t="s">
        <v>7</v>
      </c>
      <c r="B4" s="164"/>
      <c r="C4" s="164"/>
      <c r="D4" s="165" t="s">
        <v>8</v>
      </c>
      <c r="E4" s="166" t="s">
        <v>9</v>
      </c>
      <c r="F4" s="164"/>
      <c r="G4" s="164"/>
      <c r="H4" s="164"/>
      <c r="I4" s="164"/>
      <c r="J4" s="164"/>
      <c r="K4" s="164"/>
      <c r="L4" s="164"/>
    </row>
    <row r="5" spans="1:12" ht="12.75" x14ac:dyDescent="0.35">
      <c r="A5" s="32" t="s">
        <v>10</v>
      </c>
      <c r="B5" s="167" t="s">
        <v>11</v>
      </c>
      <c r="C5" s="164"/>
      <c r="D5" s="165" t="s">
        <v>12</v>
      </c>
      <c r="E5" s="166" t="s">
        <v>13</v>
      </c>
      <c r="F5" s="164"/>
      <c r="G5" s="164"/>
      <c r="H5" s="164"/>
      <c r="I5" s="164"/>
      <c r="J5" s="164"/>
      <c r="K5" s="164"/>
      <c r="L5" s="164"/>
    </row>
    <row r="6" spans="1:12" ht="12.75" x14ac:dyDescent="0.35">
      <c r="A6" s="32" t="s">
        <v>14</v>
      </c>
      <c r="B6" s="167" t="s">
        <v>15</v>
      </c>
      <c r="C6" s="164"/>
      <c r="D6" s="165" t="s">
        <v>16</v>
      </c>
      <c r="E6" s="166" t="s">
        <v>17</v>
      </c>
      <c r="F6" s="164"/>
      <c r="G6" s="164"/>
      <c r="H6" s="164"/>
      <c r="I6" s="164"/>
      <c r="J6" s="164"/>
      <c r="K6" s="164"/>
      <c r="L6" s="164"/>
    </row>
    <row r="7" spans="1:12" ht="12.75" x14ac:dyDescent="0.35">
      <c r="A7" s="32" t="s">
        <v>18</v>
      </c>
      <c r="B7" s="167" t="s">
        <v>19</v>
      </c>
      <c r="C7" s="164"/>
      <c r="D7" s="165" t="s">
        <v>20</v>
      </c>
      <c r="E7" s="166" t="s">
        <v>21</v>
      </c>
      <c r="F7" s="164"/>
      <c r="G7" s="164"/>
      <c r="H7" s="164"/>
      <c r="I7" s="164"/>
      <c r="J7" s="164"/>
      <c r="K7" s="164"/>
      <c r="L7" s="164"/>
    </row>
    <row r="8" spans="1:12" ht="12.75" x14ac:dyDescent="0.35">
      <c r="A8" s="32" t="s">
        <v>22</v>
      </c>
      <c r="B8" s="167" t="s">
        <v>23</v>
      </c>
      <c r="C8" s="164"/>
      <c r="D8" s="165" t="s">
        <v>24</v>
      </c>
      <c r="E8" s="166" t="s">
        <v>25</v>
      </c>
      <c r="F8" s="164"/>
      <c r="G8" s="164"/>
      <c r="H8" s="164"/>
      <c r="I8" s="164"/>
      <c r="J8" s="164"/>
      <c r="K8" s="164"/>
      <c r="L8" s="164"/>
    </row>
    <row r="9" spans="1:12" ht="12.75" x14ac:dyDescent="0.35">
      <c r="A9" s="32" t="s">
        <v>26</v>
      </c>
      <c r="B9" s="167" t="s">
        <v>27</v>
      </c>
      <c r="C9" s="164"/>
      <c r="D9" s="165" t="s">
        <v>28</v>
      </c>
      <c r="E9" s="166" t="s">
        <v>29</v>
      </c>
      <c r="F9" s="164"/>
      <c r="G9" s="164"/>
      <c r="H9" s="164"/>
      <c r="I9" s="164"/>
      <c r="J9" s="164"/>
      <c r="K9" s="164"/>
      <c r="L9" s="164"/>
    </row>
    <row r="10" spans="1:12" ht="12.75" x14ac:dyDescent="0.35">
      <c r="A10" s="32" t="s">
        <v>30</v>
      </c>
      <c r="B10" s="167" t="s">
        <v>31</v>
      </c>
      <c r="C10" s="164"/>
      <c r="D10" s="165" t="s">
        <v>32</v>
      </c>
      <c r="E10" s="166" t="s">
        <v>33</v>
      </c>
      <c r="F10" s="164"/>
      <c r="G10" s="164"/>
      <c r="H10" s="164"/>
      <c r="I10" s="164"/>
      <c r="J10" s="164"/>
      <c r="K10" s="164"/>
      <c r="L10" s="164"/>
    </row>
    <row r="11" spans="1:12" ht="12.75" x14ac:dyDescent="0.35">
      <c r="A11" s="32" t="s">
        <v>34</v>
      </c>
      <c r="B11" s="167" t="s">
        <v>35</v>
      </c>
      <c r="C11" s="164"/>
      <c r="D11" s="165" t="s">
        <v>36</v>
      </c>
      <c r="E11" s="166" t="s">
        <v>37</v>
      </c>
      <c r="F11" s="164"/>
      <c r="G11" s="164"/>
      <c r="H11" s="164"/>
      <c r="I11" s="164"/>
      <c r="J11" s="164"/>
      <c r="K11" s="164"/>
      <c r="L11" s="164"/>
    </row>
    <row r="12" spans="1:12" ht="12.75" x14ac:dyDescent="0.35">
      <c r="A12" s="32"/>
      <c r="B12" s="167"/>
      <c r="C12" s="164"/>
      <c r="D12" s="165" t="s">
        <v>38</v>
      </c>
      <c r="E12" s="166" t="s">
        <v>39</v>
      </c>
      <c r="F12" s="164"/>
      <c r="G12" s="164"/>
      <c r="H12" s="164"/>
      <c r="I12" s="164"/>
      <c r="J12" s="164"/>
      <c r="K12" s="164"/>
      <c r="L12" s="164"/>
    </row>
    <row r="13" spans="1:12" ht="12.75" x14ac:dyDescent="0.35">
      <c r="A13" s="32"/>
      <c r="B13" s="167"/>
      <c r="C13" s="164"/>
      <c r="D13" s="165" t="s">
        <v>40</v>
      </c>
      <c r="E13" s="166" t="s">
        <v>41</v>
      </c>
      <c r="F13" s="164"/>
      <c r="G13" s="164"/>
      <c r="H13" s="164"/>
      <c r="I13" s="164"/>
      <c r="J13" s="164"/>
      <c r="K13" s="164"/>
      <c r="L13" s="164"/>
    </row>
    <row r="14" spans="1:12" ht="12.75" x14ac:dyDescent="0.35">
      <c r="A14" s="32"/>
      <c r="B14" s="167"/>
      <c r="C14" s="164"/>
      <c r="D14" s="165" t="s">
        <v>42</v>
      </c>
      <c r="E14" s="166" t="s">
        <v>43</v>
      </c>
      <c r="F14" s="164"/>
      <c r="G14" s="164"/>
      <c r="H14" s="164"/>
      <c r="I14" s="164"/>
      <c r="J14" s="164"/>
      <c r="K14" s="164"/>
      <c r="L14" s="164"/>
    </row>
    <row r="15" spans="1:12" ht="12.75" x14ac:dyDescent="0.35">
      <c r="A15" s="32"/>
      <c r="B15" s="167"/>
      <c r="C15" s="164"/>
      <c r="D15" s="165" t="s">
        <v>44</v>
      </c>
      <c r="E15" s="166" t="s">
        <v>45</v>
      </c>
      <c r="F15" s="164"/>
      <c r="G15" s="164"/>
      <c r="H15" s="164"/>
      <c r="I15" s="164"/>
      <c r="J15" s="164"/>
      <c r="K15" s="164"/>
      <c r="L15" s="164"/>
    </row>
    <row r="16" spans="1:12" x14ac:dyDescent="0.3">
      <c r="A16" s="168"/>
      <c r="B16" s="167"/>
      <c r="C16" s="164"/>
      <c r="D16" s="165" t="s">
        <v>46</v>
      </c>
      <c r="E16" s="166" t="s">
        <v>47</v>
      </c>
      <c r="F16" s="164"/>
      <c r="G16" s="164"/>
      <c r="H16" s="164"/>
      <c r="I16" s="164"/>
      <c r="J16" s="164"/>
      <c r="K16" s="164"/>
      <c r="L16" s="164"/>
    </row>
    <row r="17" spans="1:5" x14ac:dyDescent="0.3">
      <c r="A17" s="168"/>
      <c r="B17" s="167"/>
      <c r="C17" s="164"/>
      <c r="D17" s="165" t="s">
        <v>48</v>
      </c>
      <c r="E17" s="166" t="s">
        <v>49</v>
      </c>
    </row>
    <row r="18" spans="1:5" x14ac:dyDescent="0.3">
      <c r="A18" s="168"/>
      <c r="B18" s="167"/>
      <c r="C18" s="164"/>
      <c r="D18" s="165"/>
      <c r="E18" s="166"/>
    </row>
    <row r="19" spans="1:5" ht="12.75" x14ac:dyDescent="0.35">
      <c r="A19" s="163" t="s">
        <v>50</v>
      </c>
      <c r="B19" s="164"/>
      <c r="C19" s="164"/>
      <c r="D19" s="165"/>
      <c r="E19" s="166"/>
    </row>
    <row r="20" spans="1:5" x14ac:dyDescent="0.3">
      <c r="A20" s="31" t="s">
        <v>51</v>
      </c>
      <c r="B20" s="169"/>
      <c r="C20" s="164"/>
      <c r="D20" s="165"/>
      <c r="E20" s="166"/>
    </row>
    <row r="21" spans="1:5" ht="12.75" x14ac:dyDescent="0.35">
      <c r="A21" s="32" t="s">
        <v>52</v>
      </c>
      <c r="B21" s="167" t="s">
        <v>53</v>
      </c>
      <c r="C21" s="164"/>
      <c r="D21" s="165"/>
      <c r="E21" s="166"/>
    </row>
    <row r="22" spans="1:5" s="16" customFormat="1" ht="12.75" x14ac:dyDescent="0.35">
      <c r="A22" s="32" t="s">
        <v>54</v>
      </c>
      <c r="B22" s="167" t="s">
        <v>55</v>
      </c>
      <c r="C22" s="162"/>
      <c r="D22" s="165"/>
      <c r="E22" s="166"/>
    </row>
    <row r="23" spans="1:5" x14ac:dyDescent="0.3">
      <c r="A23" s="168"/>
      <c r="B23" s="167" t="s">
        <v>56</v>
      </c>
      <c r="C23" s="164"/>
      <c r="D23" s="165"/>
      <c r="E23" s="166"/>
    </row>
    <row r="24" spans="1:5" ht="12.75" x14ac:dyDescent="0.35">
      <c r="A24" s="32" t="s">
        <v>30</v>
      </c>
      <c r="B24" s="167" t="s">
        <v>31</v>
      </c>
      <c r="C24" s="164"/>
      <c r="D24" s="165"/>
      <c r="E24" s="166"/>
    </row>
    <row r="25" spans="1:5" ht="12.75" x14ac:dyDescent="0.35">
      <c r="A25" s="32" t="s">
        <v>34</v>
      </c>
      <c r="B25" s="167" t="s">
        <v>35</v>
      </c>
      <c r="C25" s="164"/>
      <c r="D25" s="165"/>
      <c r="E25" s="166"/>
    </row>
    <row r="26" spans="1:5" ht="12.75" x14ac:dyDescent="0.35">
      <c r="A26" s="32"/>
      <c r="B26" s="167" t="s">
        <v>57</v>
      </c>
      <c r="C26" s="164"/>
      <c r="D26" s="165"/>
      <c r="E26" s="166"/>
    </row>
    <row r="27" spans="1:5" ht="12.75" x14ac:dyDescent="0.35">
      <c r="A27" s="32"/>
      <c r="B27" s="167" t="s">
        <v>58</v>
      </c>
      <c r="C27" s="164"/>
      <c r="D27" s="165"/>
      <c r="E27" s="166"/>
    </row>
    <row r="28" spans="1:5" ht="12.75" x14ac:dyDescent="0.35">
      <c r="A28" s="32"/>
      <c r="B28" s="167" t="s">
        <v>59</v>
      </c>
      <c r="C28" s="164"/>
      <c r="D28" s="165"/>
      <c r="E28" s="166"/>
    </row>
    <row r="29" spans="1:5" x14ac:dyDescent="0.3">
      <c r="A29" s="168"/>
      <c r="B29" s="167"/>
      <c r="C29" s="164"/>
      <c r="D29" s="165"/>
      <c r="E29" s="166"/>
    </row>
    <row r="30" spans="1:5" x14ac:dyDescent="0.3">
      <c r="A30" s="168"/>
      <c r="B30" s="167"/>
      <c r="C30" s="164"/>
      <c r="D30" s="165"/>
      <c r="E30" s="166"/>
    </row>
    <row r="31" spans="1:5" ht="12.75" x14ac:dyDescent="0.35">
      <c r="A31" s="163" t="s">
        <v>60</v>
      </c>
      <c r="B31" s="164"/>
      <c r="C31" s="164"/>
      <c r="D31" s="165"/>
      <c r="E31" s="166"/>
    </row>
    <row r="32" spans="1:5" ht="12.75" x14ac:dyDescent="0.35">
      <c r="A32" s="32" t="s">
        <v>61</v>
      </c>
      <c r="B32" s="167" t="s">
        <v>62</v>
      </c>
      <c r="C32" s="164"/>
      <c r="D32" s="165"/>
      <c r="E32" s="166"/>
    </row>
    <row r="33" spans="1:5" ht="12.75" x14ac:dyDescent="0.35">
      <c r="A33" s="32" t="s">
        <v>63</v>
      </c>
      <c r="B33" s="167" t="s">
        <v>64</v>
      </c>
      <c r="C33" s="164"/>
      <c r="D33" s="165"/>
      <c r="E33" s="166"/>
    </row>
    <row r="34" spans="1:5" x14ac:dyDescent="0.3">
      <c r="A34" s="168"/>
      <c r="B34" s="167"/>
      <c r="C34" s="164"/>
      <c r="D34" s="170"/>
      <c r="E34" s="171"/>
    </row>
    <row r="35" spans="1:5" x14ac:dyDescent="0.3">
      <c r="A35" s="172"/>
      <c r="B35" s="167"/>
      <c r="C35" s="164"/>
      <c r="D35" s="35"/>
      <c r="E35" s="171"/>
    </row>
    <row r="36" spans="1:5" x14ac:dyDescent="0.3">
      <c r="A36" s="173"/>
      <c r="B36" s="174"/>
      <c r="C36" s="174"/>
      <c r="D36" s="170"/>
      <c r="E36" s="171"/>
    </row>
    <row r="37" spans="1:5" x14ac:dyDescent="0.3">
      <c r="A37" s="170"/>
      <c r="B37" s="164"/>
      <c r="C37" s="164"/>
      <c r="D37" s="175"/>
      <c r="E37" s="176"/>
    </row>
  </sheetData>
  <mergeCells count="1">
    <mergeCell ref="A1:E1"/>
  </mergeCells>
  <phoneticPr fontId="2" type="noConversion"/>
  <hyperlinks>
    <hyperlink ref="A22" location="DefectLog!A2" display="DefectLog!A2" xr:uid="{FAB0400A-0DC8-47D5-85C8-B14036E9A8C0}"/>
    <hyperlink ref="A32" location="Phases!A2" display="Phases!A2" xr:uid="{516F0C8D-270F-4E63-9AB0-3F7B30A121FA}"/>
    <hyperlink ref="A33" location="DefectTypes!A2" display="DefectTypes!A2" xr:uid="{9BB386F2-5430-4FBD-B22E-AB7276908A99}"/>
    <hyperlink ref="A24" location="Task!A4" display="Task!A4" xr:uid="{536EF988-34F9-4FBD-B27A-28C54CDFC2E6}"/>
    <hyperlink ref="A25" location="Schedule!C5" display="Schedule!C5" xr:uid="{48F0EA1B-AB98-40F4-8CFB-DEE0F4210AAB}"/>
    <hyperlink ref="A21" location="TimeLog!A1" display="TimeLog!A1" xr:uid="{02A65030-C393-4241-875B-299073A2A47F}"/>
    <hyperlink ref="A11" location="Schedule!C5" display="Schedule!C5" xr:uid="{CA491766-D030-4420-B918-287132583AD5}"/>
    <hyperlink ref="A10" location="Task!A4" display="Task!A4" xr:uid="{217DAB3B-18D7-4A86-A1E9-B3F1830CEB1A}"/>
    <hyperlink ref="A8" location="Goals!B3" display="Goals!B3" xr:uid="{37AB60C4-9763-4AD0-9DA8-D4E124B85D28}"/>
    <hyperlink ref="A7" location="Roles!B2" display="Roles!B2" xr:uid="{079CFEDE-9CD6-4ADC-91FB-A72963FC54C2}"/>
    <hyperlink ref="A6" location="Team!B3" display="Team!B3" xr:uid="{62C16706-3276-4715-9ED3-1CA9D72C796E}"/>
    <hyperlink ref="A5" location="Project!B3" display="Project!B3" xr:uid="{B4F66765-B6D1-4182-A14B-4CECD0F0253E}"/>
    <hyperlink ref="A9" location="SUMS!A8" display="SUMS" xr:uid="{97810DA4-ACA1-459A-942C-7A8C0963B4AB}"/>
  </hyperlinks>
  <pageMargins left="0.75" right="0.75" top="1" bottom="1" header="0.5" footer="0.5"/>
  <pageSetup orientation="landscape"/>
  <headerFooter alignWithMargins="0">
    <oddFooter>&amp;LCopyright James W. Over 1998&amp;C:  &amp;F &amp;A&amp;R&amp;D  &amp;P of &amp;N</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6D0C7-9BE3-4960-AFEB-94746A0ABA76}">
  <sheetPr codeName="Instructions"/>
  <dimension ref="A1:D53"/>
  <sheetViews>
    <sheetView showRowColHeaders="0" workbookViewId="0">
      <pane ySplit="4" topLeftCell="A5" activePane="bottomLeft" state="frozenSplit"/>
      <selection activeCell="A2" sqref="A2:IV2"/>
      <selection pane="bottomLeft" sqref="A1:D1"/>
    </sheetView>
  </sheetViews>
  <sheetFormatPr baseColWidth="10" defaultColWidth="9.1328125" defaultRowHeight="10.15" x14ac:dyDescent="0.3"/>
  <cols>
    <col min="1" max="2" width="15.73046875" style="33" customWidth="1"/>
    <col min="3" max="3" width="53.265625" style="34" customWidth="1"/>
    <col min="4" max="4" width="15.73046875" style="33" customWidth="1"/>
    <col min="5" max="16384" width="9.1328125" style="4"/>
  </cols>
  <sheetData>
    <row r="1" spans="1:4" ht="21" customHeight="1" x14ac:dyDescent="0.3">
      <c r="A1" s="345" t="str">
        <f>[0]!TSPProcessName &amp; " Support Tool Instructions"</f>
        <v>TSPi Support Tool Instructions</v>
      </c>
      <c r="B1" s="345"/>
      <c r="C1" s="345"/>
      <c r="D1" s="345"/>
    </row>
    <row r="2" spans="1:4" s="86" customFormat="1" ht="9" x14ac:dyDescent="0.25">
      <c r="A2" s="85"/>
      <c r="B2" s="346"/>
      <c r="C2" s="346"/>
      <c r="D2" s="346"/>
    </row>
    <row r="3" spans="1:4" s="16" customFormat="1" ht="15" x14ac:dyDescent="0.3">
      <c r="A3" s="344" t="s">
        <v>65</v>
      </c>
      <c r="B3" s="344"/>
      <c r="C3" s="344"/>
      <c r="D3" s="164"/>
    </row>
    <row r="4" spans="1:4" s="16" customFormat="1" x14ac:dyDescent="0.3">
      <c r="A4" s="177" t="s">
        <v>66</v>
      </c>
      <c r="B4" s="177" t="s">
        <v>67</v>
      </c>
      <c r="C4" s="177" t="s">
        <v>68</v>
      </c>
      <c r="D4" s="177" t="s">
        <v>69</v>
      </c>
    </row>
    <row r="5" spans="1:4" ht="20.25" x14ac:dyDescent="0.3">
      <c r="A5" s="178" t="s">
        <v>70</v>
      </c>
      <c r="B5" s="178" t="s">
        <v>71</v>
      </c>
      <c r="C5" s="178" t="s">
        <v>72</v>
      </c>
      <c r="D5" s="78" t="s">
        <v>73</v>
      </c>
    </row>
    <row r="6" spans="1:4" ht="20.25" x14ac:dyDescent="0.3">
      <c r="A6" s="178" t="s">
        <v>70</v>
      </c>
      <c r="B6" s="178" t="s">
        <v>71</v>
      </c>
      <c r="C6" s="178" t="s">
        <v>74</v>
      </c>
      <c r="D6" s="78" t="s">
        <v>75</v>
      </c>
    </row>
    <row r="7" spans="1:4" x14ac:dyDescent="0.3">
      <c r="A7" s="178" t="s">
        <v>70</v>
      </c>
      <c r="B7" s="178" t="s">
        <v>71</v>
      </c>
      <c r="C7" s="178" t="s">
        <v>76</v>
      </c>
      <c r="D7" s="78" t="s">
        <v>77</v>
      </c>
    </row>
    <row r="8" spans="1:4" x14ac:dyDescent="0.3">
      <c r="A8" s="179"/>
      <c r="B8" s="179"/>
      <c r="C8" s="179"/>
      <c r="D8" s="179"/>
    </row>
    <row r="9" spans="1:4" ht="20.25" hidden="1" x14ac:dyDescent="0.3">
      <c r="A9" s="178" t="s">
        <v>78</v>
      </c>
      <c r="B9" s="178" t="s">
        <v>79</v>
      </c>
      <c r="C9" s="178" t="s">
        <v>80</v>
      </c>
      <c r="D9" s="78" t="s">
        <v>81</v>
      </c>
    </row>
    <row r="10" spans="1:4" ht="20.25" x14ac:dyDescent="0.3">
      <c r="A10" s="178" t="s">
        <v>82</v>
      </c>
      <c r="B10" s="178" t="s">
        <v>79</v>
      </c>
      <c r="C10" s="178" t="s">
        <v>83</v>
      </c>
      <c r="D10" s="78" t="s">
        <v>84</v>
      </c>
    </row>
    <row r="11" spans="1:4" x14ac:dyDescent="0.3">
      <c r="A11" s="179"/>
      <c r="B11" s="179"/>
      <c r="C11" s="179"/>
      <c r="D11" s="179"/>
    </row>
    <row r="12" spans="1:4" ht="20.25" x14ac:dyDescent="0.3">
      <c r="A12" s="178" t="s">
        <v>85</v>
      </c>
      <c r="B12" s="178" t="s">
        <v>79</v>
      </c>
      <c r="C12" s="178" t="s">
        <v>86</v>
      </c>
      <c r="D12" s="78" t="s">
        <v>87</v>
      </c>
    </row>
    <row r="13" spans="1:4" ht="30.4" x14ac:dyDescent="0.3">
      <c r="A13" s="178" t="s">
        <v>85</v>
      </c>
      <c r="B13" s="178" t="s">
        <v>79</v>
      </c>
      <c r="C13" s="178" t="s">
        <v>88</v>
      </c>
      <c r="D13" s="78" t="s">
        <v>87</v>
      </c>
    </row>
    <row r="14" spans="1:4" ht="20.25" x14ac:dyDescent="0.3">
      <c r="A14" s="178" t="s">
        <v>89</v>
      </c>
      <c r="B14" s="178" t="s">
        <v>79</v>
      </c>
      <c r="C14" s="180" t="s">
        <v>90</v>
      </c>
      <c r="D14" s="78" t="s">
        <v>91</v>
      </c>
    </row>
    <row r="15" spans="1:4" ht="20.25" x14ac:dyDescent="0.3">
      <c r="A15" s="178"/>
      <c r="B15" s="178" t="s">
        <v>79</v>
      </c>
      <c r="C15" s="180" t="s">
        <v>92</v>
      </c>
      <c r="D15" s="78" t="s">
        <v>87</v>
      </c>
    </row>
    <row r="16" spans="1:4" x14ac:dyDescent="0.3">
      <c r="A16" s="179"/>
      <c r="B16" s="179"/>
      <c r="C16" s="181"/>
      <c r="D16" s="179"/>
    </row>
    <row r="17" spans="1:4" x14ac:dyDescent="0.3">
      <c r="A17" s="178" t="s">
        <v>93</v>
      </c>
      <c r="B17" s="178" t="s">
        <v>14</v>
      </c>
      <c r="C17" s="178" t="s">
        <v>94</v>
      </c>
      <c r="D17" s="178"/>
    </row>
    <row r="18" spans="1:4" ht="20.25" x14ac:dyDescent="0.3">
      <c r="A18" s="178" t="s">
        <v>93</v>
      </c>
      <c r="B18" s="178" t="s">
        <v>95</v>
      </c>
      <c r="C18" s="180" t="s">
        <v>96</v>
      </c>
      <c r="D18" s="78" t="s">
        <v>97</v>
      </c>
    </row>
    <row r="19" spans="1:4" ht="20.25" x14ac:dyDescent="0.3">
      <c r="A19" s="178" t="s">
        <v>93</v>
      </c>
      <c r="B19" s="178" t="s">
        <v>95</v>
      </c>
      <c r="C19" s="180" t="s">
        <v>98</v>
      </c>
      <c r="D19" s="78" t="s">
        <v>99</v>
      </c>
    </row>
    <row r="20" spans="1:4" ht="30.4" x14ac:dyDescent="0.3">
      <c r="A20" s="178" t="s">
        <v>93</v>
      </c>
      <c r="B20" s="178" t="s">
        <v>14</v>
      </c>
      <c r="C20" s="180" t="s">
        <v>100</v>
      </c>
      <c r="D20" s="78"/>
    </row>
    <row r="21" spans="1:4" x14ac:dyDescent="0.3">
      <c r="A21" s="179"/>
      <c r="B21" s="179"/>
      <c r="C21" s="181"/>
      <c r="D21" s="179"/>
    </row>
    <row r="22" spans="1:4" ht="30.4" x14ac:dyDescent="0.3">
      <c r="A22" s="178" t="s">
        <v>101</v>
      </c>
      <c r="B22" s="178" t="s">
        <v>79</v>
      </c>
      <c r="C22" s="180" t="s">
        <v>102</v>
      </c>
      <c r="D22" s="78" t="s">
        <v>75</v>
      </c>
    </row>
    <row r="23" spans="1:4" ht="30.4" x14ac:dyDescent="0.3">
      <c r="A23" s="178" t="s">
        <v>101</v>
      </c>
      <c r="B23" s="178" t="s">
        <v>103</v>
      </c>
      <c r="C23" s="180" t="s">
        <v>104</v>
      </c>
      <c r="D23" s="78" t="s">
        <v>87</v>
      </c>
    </row>
    <row r="24" spans="1:4" ht="20.25" x14ac:dyDescent="0.3">
      <c r="A24" s="178" t="s">
        <v>101</v>
      </c>
      <c r="B24" s="178" t="s">
        <v>103</v>
      </c>
      <c r="C24" s="180" t="s">
        <v>105</v>
      </c>
      <c r="D24" s="78" t="s">
        <v>91</v>
      </c>
    </row>
    <row r="25" spans="1:4" ht="30.4" x14ac:dyDescent="0.3">
      <c r="A25" s="178" t="s">
        <v>101</v>
      </c>
      <c r="B25" s="178" t="s">
        <v>79</v>
      </c>
      <c r="C25" s="180" t="s">
        <v>106</v>
      </c>
      <c r="D25" s="78" t="s">
        <v>75</v>
      </c>
    </row>
    <row r="26" spans="1:4" ht="30.4" x14ac:dyDescent="0.3">
      <c r="A26" s="178" t="s">
        <v>101</v>
      </c>
      <c r="B26" s="178" t="s">
        <v>107</v>
      </c>
      <c r="C26" s="180" t="s">
        <v>108</v>
      </c>
      <c r="D26" s="178"/>
    </row>
    <row r="27" spans="1:4" s="16" customFormat="1" ht="15" x14ac:dyDescent="0.3">
      <c r="A27" s="344" t="s">
        <v>109</v>
      </c>
      <c r="B27" s="344"/>
      <c r="C27" s="344"/>
      <c r="D27" s="179"/>
    </row>
    <row r="28" spans="1:4" s="16" customFormat="1" x14ac:dyDescent="0.3">
      <c r="A28" s="177" t="s">
        <v>66</v>
      </c>
      <c r="B28" s="177" t="s">
        <v>67</v>
      </c>
      <c r="C28" s="177" t="s">
        <v>68</v>
      </c>
      <c r="D28" s="177" t="s">
        <v>69</v>
      </c>
    </row>
    <row r="29" spans="1:4" ht="30.4" x14ac:dyDescent="0.3">
      <c r="A29" s="178" t="s">
        <v>110</v>
      </c>
      <c r="B29" s="178" t="s">
        <v>107</v>
      </c>
      <c r="C29" s="180" t="s">
        <v>111</v>
      </c>
      <c r="D29" s="78" t="s">
        <v>112</v>
      </c>
    </row>
    <row r="30" spans="1:4" ht="30.4" x14ac:dyDescent="0.3">
      <c r="A30" s="178" t="s">
        <v>113</v>
      </c>
      <c r="B30" s="178" t="s">
        <v>107</v>
      </c>
      <c r="C30" s="180" t="s">
        <v>114</v>
      </c>
      <c r="D30" s="78" t="s">
        <v>115</v>
      </c>
    </row>
    <row r="31" spans="1:4" x14ac:dyDescent="0.3">
      <c r="A31" s="179"/>
      <c r="B31" s="179"/>
      <c r="C31" s="181"/>
      <c r="D31" s="179"/>
    </row>
    <row r="32" spans="1:4" ht="20.25" x14ac:dyDescent="0.3">
      <c r="A32" s="178" t="s">
        <v>116</v>
      </c>
      <c r="B32" s="178" t="s">
        <v>107</v>
      </c>
      <c r="C32" s="180" t="s">
        <v>117</v>
      </c>
      <c r="D32" s="78" t="s">
        <v>73</v>
      </c>
    </row>
    <row r="33" spans="1:4" x14ac:dyDescent="0.3">
      <c r="A33" s="178" t="s">
        <v>116</v>
      </c>
      <c r="B33" s="178" t="s">
        <v>107</v>
      </c>
      <c r="C33" s="180" t="s">
        <v>118</v>
      </c>
      <c r="D33" s="78" t="s">
        <v>87</v>
      </c>
    </row>
    <row r="34" spans="1:4" x14ac:dyDescent="0.3">
      <c r="A34" s="178" t="s">
        <v>116</v>
      </c>
      <c r="B34" s="178" t="s">
        <v>107</v>
      </c>
      <c r="C34" s="180" t="s">
        <v>119</v>
      </c>
      <c r="D34" s="78" t="s">
        <v>91</v>
      </c>
    </row>
    <row r="35" spans="1:4" ht="20.25" x14ac:dyDescent="0.3">
      <c r="A35" s="178" t="s">
        <v>116</v>
      </c>
      <c r="B35" s="178" t="s">
        <v>107</v>
      </c>
      <c r="C35" s="180" t="s">
        <v>120</v>
      </c>
      <c r="D35" s="78" t="s">
        <v>121</v>
      </c>
    </row>
    <row r="36" spans="1:4" ht="20.25" x14ac:dyDescent="0.3">
      <c r="A36" s="178" t="s">
        <v>116</v>
      </c>
      <c r="B36" s="178" t="s">
        <v>107</v>
      </c>
      <c r="C36" s="180" t="s">
        <v>122</v>
      </c>
      <c r="D36" s="78"/>
    </row>
    <row r="37" spans="1:4" ht="20.25" x14ac:dyDescent="0.3">
      <c r="A37" s="178" t="s">
        <v>116</v>
      </c>
      <c r="B37" s="178" t="s">
        <v>79</v>
      </c>
      <c r="C37" s="180" t="s">
        <v>123</v>
      </c>
      <c r="D37" s="78"/>
    </row>
    <row r="38" spans="1:4" ht="40.5" x14ac:dyDescent="0.3">
      <c r="A38" s="178" t="s">
        <v>116</v>
      </c>
      <c r="B38" s="178" t="s">
        <v>79</v>
      </c>
      <c r="C38" s="180" t="s">
        <v>124</v>
      </c>
      <c r="D38" s="78" t="s">
        <v>125</v>
      </c>
    </row>
    <row r="39" spans="1:4" ht="20.25" x14ac:dyDescent="0.3">
      <c r="A39" s="178" t="s">
        <v>116</v>
      </c>
      <c r="B39" s="178" t="s">
        <v>79</v>
      </c>
      <c r="C39" s="180" t="s">
        <v>126</v>
      </c>
      <c r="D39" s="78" t="s">
        <v>73</v>
      </c>
    </row>
    <row r="40" spans="1:4" x14ac:dyDescent="0.3">
      <c r="A40" s="178" t="s">
        <v>116</v>
      </c>
      <c r="B40" s="178" t="s">
        <v>79</v>
      </c>
      <c r="C40" s="180" t="s">
        <v>118</v>
      </c>
      <c r="D40" s="78" t="s">
        <v>87</v>
      </c>
    </row>
    <row r="41" spans="1:4" x14ac:dyDescent="0.3">
      <c r="A41" s="178" t="s">
        <v>116</v>
      </c>
      <c r="B41" s="178" t="s">
        <v>79</v>
      </c>
      <c r="C41" s="180" t="s">
        <v>119</v>
      </c>
      <c r="D41" s="78" t="s">
        <v>91</v>
      </c>
    </row>
    <row r="42" spans="1:4" ht="20.25" x14ac:dyDescent="0.3">
      <c r="A42" s="178" t="s">
        <v>116</v>
      </c>
      <c r="B42" s="178" t="s">
        <v>79</v>
      </c>
      <c r="C42" s="180" t="s">
        <v>120</v>
      </c>
      <c r="D42" s="78" t="s">
        <v>121</v>
      </c>
    </row>
    <row r="43" spans="1:4" ht="40.5" x14ac:dyDescent="0.3">
      <c r="A43" s="178" t="s">
        <v>116</v>
      </c>
      <c r="B43" s="178" t="s">
        <v>79</v>
      </c>
      <c r="C43" s="180" t="s">
        <v>127</v>
      </c>
      <c r="D43" s="78" t="s">
        <v>73</v>
      </c>
    </row>
    <row r="44" spans="1:4" ht="50.65" x14ac:dyDescent="0.3">
      <c r="A44" s="178" t="s">
        <v>128</v>
      </c>
      <c r="B44" s="178" t="s">
        <v>79</v>
      </c>
      <c r="C44" s="180" t="s">
        <v>129</v>
      </c>
      <c r="D44" s="78" t="s">
        <v>73</v>
      </c>
    </row>
    <row r="45" spans="1:4" s="16" customFormat="1" ht="15" x14ac:dyDescent="0.3">
      <c r="A45" s="344" t="s">
        <v>130</v>
      </c>
      <c r="B45" s="344"/>
      <c r="C45" s="344"/>
      <c r="D45" s="179"/>
    </row>
    <row r="46" spans="1:4" s="16" customFormat="1" x14ac:dyDescent="0.3">
      <c r="A46" s="177" t="s">
        <v>66</v>
      </c>
      <c r="B46" s="177" t="s">
        <v>67</v>
      </c>
      <c r="C46" s="177" t="s">
        <v>68</v>
      </c>
      <c r="D46" s="177" t="s">
        <v>69</v>
      </c>
    </row>
    <row r="47" spans="1:4" ht="20.25" x14ac:dyDescent="0.3">
      <c r="A47" s="178" t="s">
        <v>131</v>
      </c>
      <c r="B47" s="178" t="s">
        <v>107</v>
      </c>
      <c r="C47" s="180" t="s">
        <v>132</v>
      </c>
      <c r="D47" s="182" t="s">
        <v>133</v>
      </c>
    </row>
    <row r="48" spans="1:4" ht="20.25" x14ac:dyDescent="0.3">
      <c r="A48" s="178" t="s">
        <v>131</v>
      </c>
      <c r="B48" s="178" t="s">
        <v>107</v>
      </c>
      <c r="C48" s="180" t="s">
        <v>134</v>
      </c>
      <c r="D48" s="78" t="s">
        <v>73</v>
      </c>
    </row>
    <row r="49" spans="1:4" ht="20.25" x14ac:dyDescent="0.3">
      <c r="A49" s="178" t="s">
        <v>131</v>
      </c>
      <c r="B49" s="178" t="s">
        <v>79</v>
      </c>
      <c r="C49" s="180" t="s">
        <v>132</v>
      </c>
      <c r="D49" s="182" t="s">
        <v>133</v>
      </c>
    </row>
    <row r="50" spans="1:4" ht="20.25" x14ac:dyDescent="0.3">
      <c r="A50" s="178" t="s">
        <v>131</v>
      </c>
      <c r="B50" s="178" t="s">
        <v>79</v>
      </c>
      <c r="C50" s="180" t="s">
        <v>135</v>
      </c>
      <c r="D50" s="78" t="s">
        <v>136</v>
      </c>
    </row>
    <row r="51" spans="1:4" ht="20.25" x14ac:dyDescent="0.3">
      <c r="A51" s="178" t="s">
        <v>131</v>
      </c>
      <c r="B51" s="178" t="s">
        <v>79</v>
      </c>
      <c r="C51" s="180" t="s">
        <v>137</v>
      </c>
      <c r="D51" s="78" t="s">
        <v>138</v>
      </c>
    </row>
    <row r="52" spans="1:4" x14ac:dyDescent="0.3">
      <c r="A52" s="178" t="s">
        <v>131</v>
      </c>
      <c r="B52" s="178" t="s">
        <v>79</v>
      </c>
      <c r="C52" s="180" t="s">
        <v>139</v>
      </c>
      <c r="D52" s="78" t="s">
        <v>84</v>
      </c>
    </row>
    <row r="53" spans="1:4" ht="20.25" x14ac:dyDescent="0.3">
      <c r="A53" s="178" t="s">
        <v>131</v>
      </c>
      <c r="B53" s="178" t="s">
        <v>79</v>
      </c>
      <c r="C53" s="180" t="s">
        <v>140</v>
      </c>
      <c r="D53" s="78" t="s">
        <v>73</v>
      </c>
    </row>
  </sheetData>
  <sheetProtection sheet="1" objects="1" scenarios="1"/>
  <mergeCells count="5">
    <mergeCell ref="A3:C3"/>
    <mergeCell ref="A27:C27"/>
    <mergeCell ref="A1:D1"/>
    <mergeCell ref="A45:C45"/>
    <mergeCell ref="B2:D2"/>
  </mergeCells>
  <phoneticPr fontId="2" type="noConversion"/>
  <hyperlinks>
    <hyperlink ref="D5" location="Project!Name" display="Project!Name" xr:uid="{56D77AA8-9279-4852-9B09-F506F82453E8}"/>
    <hyperlink ref="D6" location="Team!B2" display="Team!B2" xr:uid="{7103FC34-3D49-4FF6-BC12-9A587DB93623}"/>
    <hyperlink ref="D7" location="Roles!B2" display="Roles!B2" xr:uid="{75E3EA0C-7D9C-41F9-8F7D-BAADCCCE748E}"/>
    <hyperlink ref="D9" location="Goals!B3" display="Goals!B3" xr:uid="{7C3AC2AF-7F6C-4E09-81BA-C4924C7DBA92}"/>
    <hyperlink ref="D10" location="SUMS!B8" display="SUMS!B8" xr:uid="{34E9C9B6-F11F-41D7-8A71-3B96123A45B1}"/>
    <hyperlink ref="D18" location="SUMQ!d82" display="SUMQ!d82" xr:uid="{3287B439-3444-4462-9A0B-7B54401D13ED}"/>
    <hyperlink ref="D12" location="Task!A8" display="Task!A8" xr:uid="{7E9AAA04-F096-4F90-9C52-66B5070A05AF}"/>
    <hyperlink ref="D13" location="Task!A8" display="Task!A8" xr:uid="{2402C764-EC8D-41FA-A78E-CBF4DBB7FD96}"/>
    <hyperlink ref="D15" location="Task!A8" display="Task!A8" xr:uid="{88DD3F26-2405-424D-9267-C1A54D1B1830}"/>
    <hyperlink ref="D14" location="Schedule!C8" display="Schedule!C8" xr:uid="{FA130253-3E71-488B-8D4B-026F6817834F}"/>
    <hyperlink ref="D23" location="Task!A8" display="Task!A8" xr:uid="{886BE16C-EFEA-4F2E-8E3C-14427670FBF9}"/>
    <hyperlink ref="D24" location="Schedule!C8" display="Schedule!C8" xr:uid="{8E2D5BB7-A329-4F4B-867D-6A2F4914995E}"/>
    <hyperlink ref="D22" location="Team!B2" display="Team!B2" xr:uid="{E66B87B2-1F02-4296-A2C8-7617B1D4B90E}"/>
    <hyperlink ref="D25" location="Team!B2" display="Team!B2" xr:uid="{5EAD50F7-DD04-400F-9B0B-4E5B69CDA812}"/>
    <hyperlink ref="D29" location="LOGT!A7" display="LOGT!A7" xr:uid="{F5BC4705-BCCE-4447-9B0E-D1D71E33C917}"/>
    <hyperlink ref="D30" location="LOGD!A7" display="LOGD!A7" xr:uid="{174EF46D-093E-4117-837F-72EABB7458EE}"/>
    <hyperlink ref="D34" location="Schedule!C8" display="Schedule!C8" xr:uid="{B7BC224D-8310-4468-BFB5-ECB8E1DFF49B}"/>
    <hyperlink ref="D19" location="SUMQ!D55" display="SUMQ!D55" xr:uid="{F79F5537-57AD-4ECF-8823-E39D23038760}"/>
    <hyperlink ref="D35" location="Week!C2" display="Week!C2" xr:uid="{B2C337AC-2B44-47D0-B480-AEBECB5449A2}"/>
    <hyperlink ref="D38" location="Team!A2" display="Team!A2" xr:uid="{A1A1C821-39D4-4193-BEF2-CEE5B045AC89}"/>
    <hyperlink ref="D32" location="Project!Name" display="Project!Name" xr:uid="{2BE44DB2-516A-4628-9EB3-BE2E01DB4053}"/>
    <hyperlink ref="D33" location="Task!A8" display="Task!A8" xr:uid="{3AE3CC6C-B1BB-4771-96A0-3774443363FA}"/>
    <hyperlink ref="D41" location="Schedule!C8" display="Schedule!C8" xr:uid="{D4492E04-0548-4A10-8619-E80F6A99ECBF}"/>
    <hyperlink ref="D42" location="Week!C2" display="Week!C2" xr:uid="{7E111163-A249-4554-B3AF-3212800B0CCB}"/>
    <hyperlink ref="D40" location="Task!A8" display="Task!A8" xr:uid="{C58B1D85-1E45-4094-ACD1-E364E051AC3E}"/>
    <hyperlink ref="D39" location="Project!Name" display="Project!Name" xr:uid="{7E2C5BAC-C85C-4A52-ABD5-38FE838C8960}"/>
    <hyperlink ref="D43" location="Project!Name" display="Project!Name" xr:uid="{85519DEA-1F42-4F10-A05E-606C326F030C}"/>
    <hyperlink ref="D44" location="Project!Name" display="Project!Name" xr:uid="{913CAD2A-8FC7-4729-AA04-4979DD2E969D}"/>
    <hyperlink ref="D50" location="SUMP!B2" display="SUMP!B2" xr:uid="{25B12594-E0AF-4ECE-A55B-89E1A628CA64}"/>
    <hyperlink ref="D51" location="SUMQ!B2" display="SUMQ!B2" xr:uid="{6FAA9AEC-AD0C-4429-BC37-843B871FC859}"/>
    <hyperlink ref="D52" location="SUMS!B8" display="SUMS!B8" xr:uid="{853BCC47-8DD8-4C5D-8936-A02EFF1B260F}"/>
    <hyperlink ref="D53" location="Project!Name" display="Project!Name" xr:uid="{5B71D134-2FAC-4EB9-832A-F85E8AEF8D68}"/>
    <hyperlink ref="D48" location="Project!Name" display="Project!Name" xr:uid="{177B5808-1709-499F-B896-448355C3EFE1}"/>
  </hyperlinks>
  <pageMargins left="0.75" right="0.75" top="1" bottom="1" header="0.5" footer="0.5"/>
  <pageSetup orientation="landscape"/>
  <headerFooter alignWithMargins="0">
    <oddFooter>&amp;L File: &amp;F ! &amp;A&amp;R&amp;D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3255C-D423-4AF2-A690-F451E3763303}">
  <sheetPr codeName="Instructions1"/>
  <dimension ref="A1:D66"/>
  <sheetViews>
    <sheetView showRowColHeaders="0" workbookViewId="0">
      <pane ySplit="1" topLeftCell="A26" activePane="bottomLeft" state="frozenSplit"/>
      <selection pane="bottomLeft" activeCell="A3" sqref="A3:C3"/>
    </sheetView>
  </sheetViews>
  <sheetFormatPr baseColWidth="10" defaultColWidth="9.1328125" defaultRowHeight="10.15" x14ac:dyDescent="0.3"/>
  <cols>
    <col min="1" max="2" width="15.73046875" style="33" customWidth="1"/>
    <col min="3" max="3" width="53.265625" style="34" customWidth="1"/>
    <col min="4" max="4" width="15.73046875" style="33" customWidth="1"/>
    <col min="5" max="16384" width="9.1328125" style="4"/>
  </cols>
  <sheetData>
    <row r="1" spans="1:4" ht="21" customHeight="1" x14ac:dyDescent="0.3">
      <c r="A1" s="345" t="str">
        <f>[0]!TSPProcessName &amp; " Support Tool Instructions"</f>
        <v>TSPi Support Tool Instructions</v>
      </c>
      <c r="B1" s="345"/>
      <c r="C1" s="345"/>
      <c r="D1" s="345"/>
    </row>
    <row r="2" spans="1:4" s="86" customFormat="1" ht="9" x14ac:dyDescent="0.25">
      <c r="A2" s="85"/>
      <c r="B2" s="346"/>
      <c r="C2" s="346"/>
      <c r="D2" s="346"/>
    </row>
    <row r="3" spans="1:4" s="16" customFormat="1" ht="15" x14ac:dyDescent="0.3">
      <c r="A3" s="344" t="s">
        <v>65</v>
      </c>
      <c r="B3" s="344"/>
      <c r="C3" s="344"/>
      <c r="D3" s="164"/>
    </row>
    <row r="4" spans="1:4" s="16" customFormat="1" x14ac:dyDescent="0.3">
      <c r="A4" s="177" t="s">
        <v>141</v>
      </c>
      <c r="B4" s="177" t="s">
        <v>67</v>
      </c>
      <c r="C4" s="177" t="s">
        <v>68</v>
      </c>
      <c r="D4" s="177" t="s">
        <v>69</v>
      </c>
    </row>
    <row r="5" spans="1:4" ht="20.25" x14ac:dyDescent="0.3">
      <c r="A5" s="178" t="s">
        <v>142</v>
      </c>
      <c r="B5" s="178" t="s">
        <v>143</v>
      </c>
      <c r="C5" s="178" t="s">
        <v>72</v>
      </c>
      <c r="D5" s="78" t="s">
        <v>73</v>
      </c>
    </row>
    <row r="6" spans="1:4" ht="20.25" x14ac:dyDescent="0.3">
      <c r="A6" s="178" t="s">
        <v>142</v>
      </c>
      <c r="B6" s="178" t="s">
        <v>143</v>
      </c>
      <c r="C6" s="178" t="s">
        <v>74</v>
      </c>
      <c r="D6" s="78" t="s">
        <v>75</v>
      </c>
    </row>
    <row r="7" spans="1:4" ht="20.25" x14ac:dyDescent="0.3">
      <c r="A7" s="178" t="s">
        <v>142</v>
      </c>
      <c r="B7" s="178" t="s">
        <v>143</v>
      </c>
      <c r="C7" s="178" t="s">
        <v>144</v>
      </c>
      <c r="D7" s="78" t="s">
        <v>77</v>
      </c>
    </row>
    <row r="8" spans="1:4" ht="20.25" x14ac:dyDescent="0.3">
      <c r="A8" s="178" t="s">
        <v>142</v>
      </c>
      <c r="B8" s="178" t="s">
        <v>143</v>
      </c>
      <c r="C8" s="178" t="s">
        <v>145</v>
      </c>
      <c r="D8" s="78" t="s">
        <v>146</v>
      </c>
    </row>
    <row r="9" spans="1:4" x14ac:dyDescent="0.3">
      <c r="A9" s="179"/>
      <c r="B9" s="179"/>
      <c r="C9" s="179"/>
      <c r="D9" s="179"/>
    </row>
    <row r="10" spans="1:4" ht="20.25" hidden="1" x14ac:dyDescent="0.3">
      <c r="A10" s="178" t="s">
        <v>78</v>
      </c>
      <c r="B10" s="178" t="s">
        <v>79</v>
      </c>
      <c r="C10" s="178" t="s">
        <v>80</v>
      </c>
      <c r="D10" s="78" t="s">
        <v>81</v>
      </c>
    </row>
    <row r="11" spans="1:4" ht="30.4" x14ac:dyDescent="0.3">
      <c r="A11" s="178" t="s">
        <v>147</v>
      </c>
      <c r="B11" s="178" t="s">
        <v>143</v>
      </c>
      <c r="C11" s="178" t="s">
        <v>148</v>
      </c>
      <c r="D11" s="78" t="s">
        <v>84</v>
      </c>
    </row>
    <row r="12" spans="1:4" x14ac:dyDescent="0.3">
      <c r="A12" s="179"/>
      <c r="B12" s="179"/>
      <c r="C12" s="179"/>
      <c r="D12" s="179"/>
    </row>
    <row r="13" spans="1:4" ht="20.25" x14ac:dyDescent="0.3">
      <c r="A13" s="178" t="s">
        <v>149</v>
      </c>
      <c r="B13" s="178" t="s">
        <v>143</v>
      </c>
      <c r="C13" s="178" t="s">
        <v>150</v>
      </c>
      <c r="D13" s="78" t="s">
        <v>84</v>
      </c>
    </row>
    <row r="14" spans="1:4" ht="20.25" x14ac:dyDescent="0.3">
      <c r="A14" s="178" t="s">
        <v>149</v>
      </c>
      <c r="B14" s="178" t="s">
        <v>143</v>
      </c>
      <c r="C14" s="178" t="s">
        <v>151</v>
      </c>
      <c r="D14" s="78" t="s">
        <v>87</v>
      </c>
    </row>
    <row r="15" spans="1:4" ht="30.4" x14ac:dyDescent="0.3">
      <c r="A15" s="178" t="s">
        <v>149</v>
      </c>
      <c r="B15" s="178" t="s">
        <v>143</v>
      </c>
      <c r="C15" s="178" t="s">
        <v>152</v>
      </c>
      <c r="D15" s="78" t="s">
        <v>87</v>
      </c>
    </row>
    <row r="16" spans="1:4" ht="20.25" x14ac:dyDescent="0.3">
      <c r="A16" s="178" t="s">
        <v>149</v>
      </c>
      <c r="B16" s="178" t="s">
        <v>143</v>
      </c>
      <c r="C16" s="180" t="s">
        <v>153</v>
      </c>
      <c r="D16" s="78" t="s">
        <v>91</v>
      </c>
    </row>
    <row r="17" spans="1:4" ht="20.25" x14ac:dyDescent="0.3">
      <c r="A17" s="178" t="s">
        <v>149</v>
      </c>
      <c r="B17" s="178" t="s">
        <v>143</v>
      </c>
      <c r="C17" s="180" t="s">
        <v>154</v>
      </c>
      <c r="D17" s="78" t="s">
        <v>87</v>
      </c>
    </row>
    <row r="18" spans="1:4" x14ac:dyDescent="0.3">
      <c r="A18" s="179"/>
      <c r="B18" s="179"/>
      <c r="C18" s="181"/>
      <c r="D18" s="179"/>
    </row>
    <row r="19" spans="1:4" ht="20.25" x14ac:dyDescent="0.3">
      <c r="A19" s="178" t="s">
        <v>155</v>
      </c>
      <c r="B19" s="178" t="s">
        <v>14</v>
      </c>
      <c r="C19" s="178" t="s">
        <v>156</v>
      </c>
      <c r="D19" s="178"/>
    </row>
    <row r="20" spans="1:4" ht="30.4" x14ac:dyDescent="0.3">
      <c r="A20" s="178" t="s">
        <v>155</v>
      </c>
      <c r="B20" s="178" t="s">
        <v>157</v>
      </c>
      <c r="C20" s="180" t="s">
        <v>96</v>
      </c>
      <c r="D20" s="78" t="s">
        <v>97</v>
      </c>
    </row>
    <row r="21" spans="1:4" ht="30.4" x14ac:dyDescent="0.3">
      <c r="A21" s="178" t="s">
        <v>155</v>
      </c>
      <c r="B21" s="178" t="s">
        <v>157</v>
      </c>
      <c r="C21" s="180" t="s">
        <v>98</v>
      </c>
      <c r="D21" s="78" t="s">
        <v>99</v>
      </c>
    </row>
    <row r="22" spans="1:4" ht="30.4" x14ac:dyDescent="0.3">
      <c r="A22" s="178" t="s">
        <v>155</v>
      </c>
      <c r="B22" s="178" t="s">
        <v>14</v>
      </c>
      <c r="C22" s="180" t="s">
        <v>100</v>
      </c>
      <c r="D22" s="78"/>
    </row>
    <row r="23" spans="1:4" x14ac:dyDescent="0.3">
      <c r="A23" s="179"/>
      <c r="B23" s="179"/>
      <c r="C23" s="181"/>
      <c r="D23" s="179"/>
    </row>
    <row r="24" spans="1:4" ht="20.25" x14ac:dyDescent="0.3">
      <c r="A24" s="178" t="s">
        <v>158</v>
      </c>
      <c r="B24" s="178" t="s">
        <v>143</v>
      </c>
      <c r="C24" s="180" t="s">
        <v>159</v>
      </c>
      <c r="D24" s="78" t="s">
        <v>87</v>
      </c>
    </row>
    <row r="25" spans="1:4" ht="40.5" x14ac:dyDescent="0.3">
      <c r="A25" s="178" t="s">
        <v>158</v>
      </c>
      <c r="B25" s="178" t="s">
        <v>143</v>
      </c>
      <c r="C25" s="180" t="s">
        <v>160</v>
      </c>
      <c r="D25" s="78" t="s">
        <v>84</v>
      </c>
    </row>
    <row r="26" spans="1:4" ht="40.5" x14ac:dyDescent="0.3">
      <c r="A26" s="178" t="s">
        <v>158</v>
      </c>
      <c r="B26" s="178" t="s">
        <v>143</v>
      </c>
      <c r="C26" s="180" t="s">
        <v>161</v>
      </c>
      <c r="D26" s="78" t="s">
        <v>75</v>
      </c>
    </row>
    <row r="27" spans="1:4" ht="30.4" x14ac:dyDescent="0.3">
      <c r="A27" s="178" t="s">
        <v>158</v>
      </c>
      <c r="B27" s="178" t="s">
        <v>103</v>
      </c>
      <c r="C27" s="180" t="s">
        <v>162</v>
      </c>
      <c r="D27" s="78" t="s">
        <v>87</v>
      </c>
    </row>
    <row r="28" spans="1:4" ht="20.25" x14ac:dyDescent="0.3">
      <c r="A28" s="178" t="s">
        <v>158</v>
      </c>
      <c r="B28" s="178" t="s">
        <v>103</v>
      </c>
      <c r="C28" s="180" t="s">
        <v>105</v>
      </c>
      <c r="D28" s="78" t="s">
        <v>91</v>
      </c>
    </row>
    <row r="29" spans="1:4" ht="30.4" x14ac:dyDescent="0.3">
      <c r="A29" s="178" t="s">
        <v>158</v>
      </c>
      <c r="B29" s="178" t="s">
        <v>103</v>
      </c>
      <c r="C29" s="180" t="s">
        <v>163</v>
      </c>
      <c r="D29" s="78"/>
    </row>
    <row r="30" spans="1:4" ht="30.4" x14ac:dyDescent="0.3">
      <c r="A30" s="178" t="s">
        <v>158</v>
      </c>
      <c r="B30" s="178" t="s">
        <v>79</v>
      </c>
      <c r="C30" s="180" t="s">
        <v>106</v>
      </c>
      <c r="D30" s="78" t="s">
        <v>75</v>
      </c>
    </row>
    <row r="31" spans="1:4" ht="30.4" x14ac:dyDescent="0.3">
      <c r="A31" s="178" t="s">
        <v>158</v>
      </c>
      <c r="B31" s="178" t="s">
        <v>107</v>
      </c>
      <c r="C31" s="180" t="s">
        <v>108</v>
      </c>
      <c r="D31" s="178"/>
    </row>
    <row r="32" spans="1:4" x14ac:dyDescent="0.3">
      <c r="A32" s="179"/>
      <c r="B32" s="179"/>
      <c r="C32" s="181"/>
      <c r="D32" s="179"/>
    </row>
    <row r="33" spans="1:4" ht="20.25" x14ac:dyDescent="0.3">
      <c r="A33" s="178" t="s">
        <v>164</v>
      </c>
      <c r="B33" s="178" t="s">
        <v>143</v>
      </c>
      <c r="C33" s="178" t="s">
        <v>165</v>
      </c>
      <c r="D33" s="78" t="s">
        <v>166</v>
      </c>
    </row>
    <row r="34" spans="1:4" s="16" customFormat="1" ht="15" x14ac:dyDescent="0.3">
      <c r="A34" s="344" t="s">
        <v>109</v>
      </c>
      <c r="B34" s="344"/>
      <c r="C34" s="344"/>
      <c r="D34" s="179"/>
    </row>
    <row r="35" spans="1:4" s="16" customFormat="1" x14ac:dyDescent="0.3">
      <c r="A35" s="177" t="s">
        <v>141</v>
      </c>
      <c r="B35" s="177" t="s">
        <v>67</v>
      </c>
      <c r="C35" s="177" t="s">
        <v>68</v>
      </c>
      <c r="D35" s="177" t="s">
        <v>69</v>
      </c>
    </row>
    <row r="36" spans="1:4" ht="30.4" x14ac:dyDescent="0.3">
      <c r="A36" s="178" t="s">
        <v>167</v>
      </c>
      <c r="B36" s="178" t="s">
        <v>107</v>
      </c>
      <c r="C36" s="180" t="s">
        <v>168</v>
      </c>
      <c r="D36" s="78" t="s">
        <v>112</v>
      </c>
    </row>
    <row r="37" spans="1:4" ht="30.4" x14ac:dyDescent="0.3">
      <c r="A37" s="178" t="s">
        <v>167</v>
      </c>
      <c r="B37" s="178" t="s">
        <v>107</v>
      </c>
      <c r="C37" s="180" t="s">
        <v>169</v>
      </c>
      <c r="D37" s="78" t="s">
        <v>115</v>
      </c>
    </row>
    <row r="38" spans="1:4" ht="20.25" x14ac:dyDescent="0.3">
      <c r="A38" s="178" t="s">
        <v>167</v>
      </c>
      <c r="B38" s="178" t="s">
        <v>107</v>
      </c>
      <c r="C38" s="180" t="s">
        <v>170</v>
      </c>
      <c r="D38" s="78" t="s">
        <v>166</v>
      </c>
    </row>
    <row r="39" spans="1:4" ht="20.25" x14ac:dyDescent="0.3">
      <c r="A39" s="178" t="s">
        <v>167</v>
      </c>
      <c r="B39" s="178" t="s">
        <v>107</v>
      </c>
      <c r="C39" s="180" t="s">
        <v>171</v>
      </c>
      <c r="D39" s="78" t="s">
        <v>172</v>
      </c>
    </row>
    <row r="40" spans="1:4" x14ac:dyDescent="0.3">
      <c r="A40" s="179"/>
      <c r="B40" s="179"/>
      <c r="C40" s="181"/>
      <c r="D40" s="179"/>
    </row>
    <row r="41" spans="1:4" ht="20.25" x14ac:dyDescent="0.3">
      <c r="A41" s="178" t="s">
        <v>116</v>
      </c>
      <c r="B41" s="178" t="s">
        <v>107</v>
      </c>
      <c r="C41" s="180" t="s">
        <v>173</v>
      </c>
      <c r="D41" s="78"/>
    </row>
    <row r="42" spans="1:4" ht="50.65" x14ac:dyDescent="0.3">
      <c r="A42" s="178" t="s">
        <v>116</v>
      </c>
      <c r="B42" s="178" t="s">
        <v>107</v>
      </c>
      <c r="C42" s="180" t="s">
        <v>174</v>
      </c>
      <c r="D42" s="78" t="s">
        <v>87</v>
      </c>
    </row>
    <row r="43" spans="1:4" ht="20.25" x14ac:dyDescent="0.3">
      <c r="A43" s="178" t="s">
        <v>116</v>
      </c>
      <c r="B43" s="178" t="s">
        <v>107</v>
      </c>
      <c r="C43" s="180" t="s">
        <v>117</v>
      </c>
      <c r="D43" s="78" t="s">
        <v>73</v>
      </c>
    </row>
    <row r="44" spans="1:4" x14ac:dyDescent="0.3">
      <c r="A44" s="178" t="s">
        <v>116</v>
      </c>
      <c r="B44" s="178" t="s">
        <v>107</v>
      </c>
      <c r="C44" s="180" t="s">
        <v>118</v>
      </c>
      <c r="D44" s="78" t="s">
        <v>87</v>
      </c>
    </row>
    <row r="45" spans="1:4" x14ac:dyDescent="0.3">
      <c r="A45" s="178" t="s">
        <v>116</v>
      </c>
      <c r="B45" s="178" t="s">
        <v>107</v>
      </c>
      <c r="C45" s="180" t="s">
        <v>119</v>
      </c>
      <c r="D45" s="78" t="s">
        <v>175</v>
      </c>
    </row>
    <row r="46" spans="1:4" ht="20.25" x14ac:dyDescent="0.3">
      <c r="A46" s="178" t="s">
        <v>116</v>
      </c>
      <c r="B46" s="178" t="s">
        <v>107</v>
      </c>
      <c r="C46" s="180" t="s">
        <v>120</v>
      </c>
      <c r="D46" s="78" t="s">
        <v>121</v>
      </c>
    </row>
    <row r="47" spans="1:4" ht="20.25" x14ac:dyDescent="0.3">
      <c r="A47" s="178" t="s">
        <v>116</v>
      </c>
      <c r="B47" s="178" t="s">
        <v>79</v>
      </c>
      <c r="C47" s="180" t="s">
        <v>176</v>
      </c>
      <c r="D47" s="78" t="s">
        <v>177</v>
      </c>
    </row>
    <row r="48" spans="1:4" ht="20.25" x14ac:dyDescent="0.3">
      <c r="A48" s="178" t="s">
        <v>116</v>
      </c>
      <c r="B48" s="178" t="s">
        <v>107</v>
      </c>
      <c r="C48" s="180" t="s">
        <v>122</v>
      </c>
      <c r="D48" s="78"/>
    </row>
    <row r="49" spans="1:4" ht="20.25" x14ac:dyDescent="0.3">
      <c r="A49" s="178" t="s">
        <v>116</v>
      </c>
      <c r="B49" s="178" t="s">
        <v>79</v>
      </c>
      <c r="C49" s="180" t="s">
        <v>123</v>
      </c>
      <c r="D49" s="78"/>
    </row>
    <row r="50" spans="1:4" ht="40.5" x14ac:dyDescent="0.3">
      <c r="A50" s="178" t="s">
        <v>116</v>
      </c>
      <c r="B50" s="178" t="s">
        <v>79</v>
      </c>
      <c r="C50" s="180" t="s">
        <v>124</v>
      </c>
      <c r="D50" s="93" t="s">
        <v>178</v>
      </c>
    </row>
    <row r="51" spans="1:4" x14ac:dyDescent="0.3">
      <c r="A51" s="178" t="s">
        <v>116</v>
      </c>
      <c r="B51" s="178" t="s">
        <v>79</v>
      </c>
      <c r="C51" s="180" t="s">
        <v>118</v>
      </c>
      <c r="D51" s="78" t="s">
        <v>87</v>
      </c>
    </row>
    <row r="52" spans="1:4" x14ac:dyDescent="0.3">
      <c r="A52" s="178" t="s">
        <v>116</v>
      </c>
      <c r="B52" s="178" t="s">
        <v>79</v>
      </c>
      <c r="C52" s="180" t="s">
        <v>119</v>
      </c>
      <c r="D52" s="78" t="s">
        <v>175</v>
      </c>
    </row>
    <row r="53" spans="1:4" ht="20.25" x14ac:dyDescent="0.3">
      <c r="A53" s="178" t="s">
        <v>116</v>
      </c>
      <c r="B53" s="178" t="s">
        <v>79</v>
      </c>
      <c r="C53" s="180" t="s">
        <v>120</v>
      </c>
      <c r="D53" s="78" t="s">
        <v>121</v>
      </c>
    </row>
    <row r="54" spans="1:4" ht="20.25" x14ac:dyDescent="0.3">
      <c r="A54" s="178" t="s">
        <v>116</v>
      </c>
      <c r="B54" s="178" t="s">
        <v>79</v>
      </c>
      <c r="C54" s="180" t="s">
        <v>176</v>
      </c>
      <c r="D54" s="78" t="s">
        <v>177</v>
      </c>
    </row>
    <row r="55" spans="1:4" ht="40.5" x14ac:dyDescent="0.3">
      <c r="A55" s="178" t="s">
        <v>116</v>
      </c>
      <c r="B55" s="178" t="s">
        <v>79</v>
      </c>
      <c r="C55" s="180" t="s">
        <v>127</v>
      </c>
      <c r="D55" s="78" t="s">
        <v>73</v>
      </c>
    </row>
    <row r="56" spans="1:4" ht="50.65" x14ac:dyDescent="0.3">
      <c r="A56" s="178" t="s">
        <v>128</v>
      </c>
      <c r="B56" s="178" t="s">
        <v>79</v>
      </c>
      <c r="C56" s="180" t="s">
        <v>129</v>
      </c>
      <c r="D56" s="78" t="s">
        <v>73</v>
      </c>
    </row>
    <row r="57" spans="1:4" s="16" customFormat="1" ht="15" x14ac:dyDescent="0.3">
      <c r="A57" s="344" t="s">
        <v>179</v>
      </c>
      <c r="B57" s="344"/>
      <c r="C57" s="344"/>
      <c r="D57" s="179"/>
    </row>
    <row r="58" spans="1:4" s="16" customFormat="1" x14ac:dyDescent="0.3">
      <c r="A58" s="177" t="s">
        <v>141</v>
      </c>
      <c r="B58" s="177" t="s">
        <v>67</v>
      </c>
      <c r="C58" s="177" t="s">
        <v>68</v>
      </c>
      <c r="D58" s="177" t="s">
        <v>69</v>
      </c>
    </row>
    <row r="59" spans="1:4" ht="20.25" x14ac:dyDescent="0.3">
      <c r="A59" s="178" t="s">
        <v>131</v>
      </c>
      <c r="B59" s="178" t="s">
        <v>107</v>
      </c>
      <c r="C59" s="180" t="s">
        <v>132</v>
      </c>
      <c r="D59" s="182" t="s">
        <v>133</v>
      </c>
    </row>
    <row r="60" spans="1:4" ht="20.25" x14ac:dyDescent="0.3">
      <c r="A60" s="178" t="s">
        <v>131</v>
      </c>
      <c r="B60" s="178" t="s">
        <v>107</v>
      </c>
      <c r="C60" s="180" t="s">
        <v>134</v>
      </c>
      <c r="D60" s="78" t="s">
        <v>73</v>
      </c>
    </row>
    <row r="61" spans="1:4" ht="20.25" x14ac:dyDescent="0.3">
      <c r="A61" s="178" t="s">
        <v>131</v>
      </c>
      <c r="B61" s="178" t="s">
        <v>79</v>
      </c>
      <c r="C61" s="180" t="s">
        <v>132</v>
      </c>
      <c r="D61" s="182" t="s">
        <v>133</v>
      </c>
    </row>
    <row r="62" spans="1:4" ht="20.25" x14ac:dyDescent="0.3">
      <c r="A62" s="178" t="s">
        <v>131</v>
      </c>
      <c r="B62" s="178" t="s">
        <v>79</v>
      </c>
      <c r="C62" s="180" t="s">
        <v>135</v>
      </c>
      <c r="D62" s="78" t="s">
        <v>136</v>
      </c>
    </row>
    <row r="63" spans="1:4" ht="20.25" x14ac:dyDescent="0.3">
      <c r="A63" s="178" t="s">
        <v>131</v>
      </c>
      <c r="B63" s="178" t="s">
        <v>79</v>
      </c>
      <c r="C63" s="180" t="s">
        <v>137</v>
      </c>
      <c r="D63" s="78" t="s">
        <v>138</v>
      </c>
    </row>
    <row r="64" spans="1:4" x14ac:dyDescent="0.3">
      <c r="A64" s="178" t="s">
        <v>131</v>
      </c>
      <c r="B64" s="178" t="s">
        <v>79</v>
      </c>
      <c r="C64" s="180" t="s">
        <v>139</v>
      </c>
      <c r="D64" s="78" t="s">
        <v>84</v>
      </c>
    </row>
    <row r="65" spans="1:4" x14ac:dyDescent="0.3">
      <c r="A65" s="178" t="s">
        <v>131</v>
      </c>
      <c r="B65" s="178" t="s">
        <v>79</v>
      </c>
      <c r="C65" s="180" t="s">
        <v>180</v>
      </c>
      <c r="D65" s="78" t="s">
        <v>166</v>
      </c>
    </row>
    <row r="66" spans="1:4" ht="20.25" x14ac:dyDescent="0.3">
      <c r="A66" s="178" t="s">
        <v>131</v>
      </c>
      <c r="B66" s="178" t="s">
        <v>79</v>
      </c>
      <c r="C66" s="180" t="s">
        <v>181</v>
      </c>
      <c r="D66" s="78" t="s">
        <v>73</v>
      </c>
    </row>
  </sheetData>
  <sheetProtection sheet="1" objects="1" scenarios="1"/>
  <mergeCells count="5">
    <mergeCell ref="A3:C3"/>
    <mergeCell ref="A34:C34"/>
    <mergeCell ref="A1:D1"/>
    <mergeCell ref="A57:C57"/>
    <mergeCell ref="B2:D2"/>
  </mergeCells>
  <phoneticPr fontId="2" type="noConversion"/>
  <hyperlinks>
    <hyperlink ref="D5" location="Project!Name" display="Project!Name" xr:uid="{D9C33F6E-7430-466B-8EB7-03607BB7F2FF}"/>
    <hyperlink ref="D6" location="Team!B2" display="Team!B2" xr:uid="{3DD5E942-3085-489C-9B33-58842C49B005}"/>
    <hyperlink ref="D10" location="Goals!B3" display="Goals!B3" xr:uid="{755C7DA5-3AC2-4AEA-B802-C6FDEB49AB9E}"/>
    <hyperlink ref="D13" location="SUMS!B8" display="SUMS!B8" xr:uid="{F1D96DDA-2D50-48DC-A3D5-9CA56699E9FD}"/>
    <hyperlink ref="D20" location="SUMQ!d82" display="SUMQ!d82" xr:uid="{AB1A8694-F3FF-4025-B4E0-75A885346170}"/>
    <hyperlink ref="D14" location="Task!A8" display="Task!A8" xr:uid="{1579696C-6981-40E6-A071-EC9088943809}"/>
    <hyperlink ref="D15" location="Task!A8" display="Task!A8" xr:uid="{0E86B69F-57F2-4BFA-9681-2AE73D5796C1}"/>
    <hyperlink ref="D17" location="Task!A8" display="Task!A8" xr:uid="{E4ADC8C2-F5A1-4750-A719-D088E2E51FCB}"/>
    <hyperlink ref="D16" location="Schedule!C8" display="Schedule!C8" xr:uid="{1B563DC4-6934-4AFD-B5D5-1A067F5FDCA1}"/>
    <hyperlink ref="D27" location="Task!A8" display="Task!A8" xr:uid="{33C7F5AD-D7AD-41F6-A856-7D267264FE4F}"/>
    <hyperlink ref="D26" location="Team!B2" display="Team!B2" xr:uid="{F2BDF38F-16E8-4D37-8718-682B17160124}"/>
    <hyperlink ref="D30" location="Team!B2" display="Team!B2" xr:uid="{58F7BAEB-2DF0-45BA-98AD-E0978D0A8FC7}"/>
    <hyperlink ref="D36" location="LOGT!A7" display="LOGT!A7" xr:uid="{54CB6515-2636-4C65-818C-607DB36C290A}"/>
    <hyperlink ref="D45" location="Schedule!A8" display="Schedule!A8" xr:uid="{E0F7A2C5-BA9C-4946-97C2-3E56C755F23E}"/>
    <hyperlink ref="D21" location="SUMQ!D55" display="SUMQ!D55" xr:uid="{654B479A-7900-4EF9-A4C7-20077E4B311E}"/>
    <hyperlink ref="D46" location="Week!C2" display="Week!C2" xr:uid="{46EE9A6B-A290-4442-848F-03DAE663359C}"/>
    <hyperlink ref="D50" location="Team!A3" display="Team!A3" xr:uid="{92B2549C-A9D1-4BFD-9653-9F628D6E0322}"/>
    <hyperlink ref="D44" location="Task!A8" display="Task!A8" xr:uid="{958A5B08-73E1-4D98-8B80-0F3B58550254}"/>
    <hyperlink ref="D52" location="Schedule!A8" display="Schedule!A8" xr:uid="{63ABEAF9-E0FB-41EC-82E3-3A0DAB4C9899}"/>
    <hyperlink ref="D51" location="Task!A8" display="Task!A8" xr:uid="{77FE496D-C157-4329-8606-34F9C3577CB8}"/>
    <hyperlink ref="D55" location="Project!Name" display="Project!Name" xr:uid="{D9C3E4B7-0CF7-4045-93C0-6D01453B7C40}"/>
    <hyperlink ref="D56" location="Project!Name" display="Project!Name" xr:uid="{ABBF7DCD-D137-45FB-8C1F-A26EE9283D3F}"/>
    <hyperlink ref="D62" location="SUMP!B2" display="SUMP!B2" xr:uid="{61CC0407-25A1-4052-A84A-419BDAA52FF8}"/>
    <hyperlink ref="D63" location="SUMQ!B2" display="SUMQ!B2" xr:uid="{EA863C3E-E928-4E5E-A3BE-A27F30FAE2C0}"/>
    <hyperlink ref="D65" location="IRTL!B7" display="IRTL!B7" xr:uid="{A14E6521-C14D-4099-A600-26B6612914F5}"/>
    <hyperlink ref="D66" location="Project!Name" display="Project!Name" xr:uid="{2F2BBA6E-AC7B-4DF0-98E8-DEFE4BBAF71B}"/>
    <hyperlink ref="D60" location="Project!Name" display="Project!Name" xr:uid="{E81696F9-0F98-4C8A-ADEE-7A022BBBF32E}"/>
    <hyperlink ref="D8" location="Goals!A3" display="Goals!A3" xr:uid="{92B1ECBB-8F3D-44FE-8E69-F7A76BF0CBF5}"/>
    <hyperlink ref="D11" location="SUMS!B8" display="SUMS!B8" xr:uid="{95F4369E-47B4-49F1-A3A8-D221162E6C29}"/>
    <hyperlink ref="D28" location="Schedule!C8" display="Schedule!C8" xr:uid="{ADE815C7-CBA5-4161-BBD0-3311B171B5CE}"/>
    <hyperlink ref="D33" location="IRTL!B7" display="IRTL!B7" xr:uid="{9091581A-94CA-4F0A-9B8A-08314E1D5635}"/>
    <hyperlink ref="D38" location="IRTL!B7" display="IRTL!B7" xr:uid="{059B466C-D1A7-494E-8F44-150249EE2195}"/>
    <hyperlink ref="D39" location="Project!B3" display="Project!B3" xr:uid="{7163C939-F4F1-4C57-9A5A-CE20D9493CF3}"/>
    <hyperlink ref="D37" location="LOGD!A7" display="LOGD!A7" xr:uid="{B0D5CF28-B6C9-4D9D-AD3D-CDAE2E85EEC5}"/>
    <hyperlink ref="D53" location="Week!C2" display="Week!C2" xr:uid="{B514F8EF-BFBE-4B2B-B41B-D0485F2FB9C2}"/>
    <hyperlink ref="D54" location="IRWeek!C2" display="IRWeek!C2" xr:uid="{748151E8-5223-4FEE-A089-CFD2EAF7FB66}"/>
    <hyperlink ref="D47" location="IRWeek!C2" display="IRWeek!C2" xr:uid="{193FB810-0D3A-4F0E-AA7D-FBD7AE49BDAF}"/>
    <hyperlink ref="D64" location="SUMS!B8" display="SUMS!B8" xr:uid="{5B54F058-F08D-421B-B6F8-BEEB8C7A15FA}"/>
    <hyperlink ref="D24" location="Task!A8" display="Task!A8" xr:uid="{4B9B824C-AC53-4E30-A119-53F3D63316F2}"/>
    <hyperlink ref="D25" location="SUMS!B8" display="SUMS!B8" xr:uid="{70357811-056C-4EC8-BAE9-43A332104FFF}"/>
    <hyperlink ref="D43" location="Task!A8" display="Task!A8" xr:uid="{92913D06-0C8D-4C9E-8498-7FD95A7EFE61}"/>
    <hyperlink ref="D42" location="Task!A8" display="Task!A8" xr:uid="{26BA4661-9F52-4136-A0F0-5CD2AB17FE03}"/>
    <hyperlink ref="D7" location="Roles!A1" display="Roles!B2" xr:uid="{31F5DE5C-7832-4AB9-A943-504104290238}"/>
  </hyperlinks>
  <pageMargins left="0.75" right="0.75" top="1" bottom="1" header="0.5" footer="0.5"/>
  <pageSetup orientation="landscape"/>
  <headerFooter alignWithMargins="0">
    <oddFooter>&amp;L File: &amp;F ! &amp;A&amp;R&amp;D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BB14C-2C68-428A-BD6A-C0108594820B}">
  <sheetPr codeName="Sheet1"/>
  <dimension ref="A1:B16"/>
  <sheetViews>
    <sheetView showGridLines="0" showRowColHeaders="0" zoomScaleNormal="100" workbookViewId="0"/>
  </sheetViews>
  <sheetFormatPr baseColWidth="10" defaultColWidth="9.1328125" defaultRowHeight="12.75" x14ac:dyDescent="0.35"/>
  <cols>
    <col min="1" max="1" width="15.73046875" style="98" customWidth="1"/>
    <col min="2" max="2" width="50.73046875" style="98" customWidth="1"/>
    <col min="3" max="16384" width="9.1328125" style="1"/>
  </cols>
  <sheetData>
    <row r="1" spans="1:2" ht="46.5" x14ac:dyDescent="0.35">
      <c r="A1" s="111" t="s">
        <v>182</v>
      </c>
      <c r="B1" s="111" t="s">
        <v>183</v>
      </c>
    </row>
    <row r="2" spans="1:2" ht="46.5" x14ac:dyDescent="0.35">
      <c r="A2" s="111" t="s">
        <v>184</v>
      </c>
      <c r="B2" s="111" t="s">
        <v>185</v>
      </c>
    </row>
    <row r="3" spans="1:2" ht="46.5" x14ac:dyDescent="0.35">
      <c r="A3" s="111" t="s">
        <v>186</v>
      </c>
      <c r="B3" s="111" t="s">
        <v>187</v>
      </c>
    </row>
    <row r="4" spans="1:2" ht="46.5" x14ac:dyDescent="0.35">
      <c r="A4" s="111" t="s">
        <v>188</v>
      </c>
      <c r="B4" s="111" t="s">
        <v>189</v>
      </c>
    </row>
    <row r="5" spans="1:2" ht="58.15" x14ac:dyDescent="0.35">
      <c r="A5" s="111" t="s">
        <v>190</v>
      </c>
      <c r="B5" s="111" t="s">
        <v>191</v>
      </c>
    </row>
    <row r="6" spans="1:2" ht="81.400000000000006" x14ac:dyDescent="0.35">
      <c r="A6" s="111" t="s">
        <v>192</v>
      </c>
      <c r="B6" s="111" t="s">
        <v>193</v>
      </c>
    </row>
    <row r="7" spans="1:2" ht="34.9" x14ac:dyDescent="0.35">
      <c r="A7" s="112" t="s">
        <v>194</v>
      </c>
      <c r="B7" s="111" t="s">
        <v>195</v>
      </c>
    </row>
    <row r="8" spans="1:2" x14ac:dyDescent="0.35">
      <c r="A8" s="113"/>
      <c r="B8" s="111" t="s">
        <v>196</v>
      </c>
    </row>
    <row r="9" spans="1:2" x14ac:dyDescent="0.35">
      <c r="A9" s="113"/>
      <c r="B9" s="111" t="s">
        <v>197</v>
      </c>
    </row>
    <row r="10" spans="1:2" x14ac:dyDescent="0.35">
      <c r="A10" s="113"/>
      <c r="B10" s="111" t="s">
        <v>198</v>
      </c>
    </row>
    <row r="11" spans="1:2" x14ac:dyDescent="0.35">
      <c r="A11" s="113"/>
      <c r="B11" s="111" t="s">
        <v>199</v>
      </c>
    </row>
    <row r="12" spans="1:2" x14ac:dyDescent="0.35">
      <c r="A12" s="113"/>
      <c r="B12" s="111" t="s">
        <v>200</v>
      </c>
    </row>
    <row r="13" spans="1:2" x14ac:dyDescent="0.35">
      <c r="A13" s="113"/>
      <c r="B13" s="111" t="s">
        <v>201</v>
      </c>
    </row>
    <row r="14" spans="1:2" x14ac:dyDescent="0.35">
      <c r="A14" s="113"/>
      <c r="B14" s="111" t="s">
        <v>202</v>
      </c>
    </row>
    <row r="15" spans="1:2" x14ac:dyDescent="0.35">
      <c r="A15" s="114"/>
      <c r="B15" s="111" t="s">
        <v>203</v>
      </c>
    </row>
    <row r="16" spans="1:2" ht="23.25" x14ac:dyDescent="0.35">
      <c r="A16" s="111" t="s">
        <v>204</v>
      </c>
      <c r="B16" s="111" t="s">
        <v>205</v>
      </c>
    </row>
  </sheetData>
  <sheetProtection sheet="1" objects="1" scenarios="1"/>
  <phoneticPr fontId="2" type="noConversion"/>
  <pageMargins left="0.75" right="0.75" top="1" bottom="1" header="0.5" footer="0.5"/>
  <pageSetup orientation="portrait" horizontalDpi="300" verticalDpi="300"/>
  <headerFooter alignWithMargins="0">
    <oddFooter>&amp;L File: &amp;F ! &amp;A&amp;R&amp;D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0D415-7BCF-4590-B995-F58798665890}">
  <sheetPr codeName="Sheet2"/>
  <dimension ref="A1:C51"/>
  <sheetViews>
    <sheetView showGridLines="0" showRowColHeaders="0" workbookViewId="0"/>
  </sheetViews>
  <sheetFormatPr baseColWidth="10" defaultColWidth="9.1328125" defaultRowHeight="11.65" x14ac:dyDescent="0.35"/>
  <cols>
    <col min="1" max="1" width="45.3984375" style="36" bestFit="1" customWidth="1"/>
    <col min="2" max="2" width="8" style="57" bestFit="1" customWidth="1"/>
    <col min="3" max="3" width="30.1328125" style="36" bestFit="1" customWidth="1"/>
    <col min="4" max="16384" width="9.1328125" style="36"/>
  </cols>
  <sheetData>
    <row r="1" spans="1:3" x14ac:dyDescent="0.35">
      <c r="A1" s="99" t="s">
        <v>206</v>
      </c>
      <c r="B1" s="100" t="s">
        <v>207</v>
      </c>
      <c r="C1" s="99" t="s">
        <v>208</v>
      </c>
    </row>
    <row r="2" spans="1:3" x14ac:dyDescent="0.35">
      <c r="A2" s="101" t="s">
        <v>209</v>
      </c>
      <c r="B2" s="104"/>
      <c r="C2" s="101"/>
    </row>
    <row r="3" spans="1:3" x14ac:dyDescent="0.35">
      <c r="A3" s="102" t="s">
        <v>210</v>
      </c>
      <c r="B3" s="105" t="s">
        <v>211</v>
      </c>
      <c r="C3" s="102"/>
    </row>
    <row r="4" spans="1:3" x14ac:dyDescent="0.35">
      <c r="A4" s="102" t="s">
        <v>212</v>
      </c>
      <c r="B4" s="105" t="s">
        <v>213</v>
      </c>
      <c r="C4" s="102"/>
    </row>
    <row r="5" spans="1:3" x14ac:dyDescent="0.35">
      <c r="A5" s="102" t="s">
        <v>214</v>
      </c>
      <c r="B5" s="105" t="s">
        <v>215</v>
      </c>
      <c r="C5" s="102"/>
    </row>
    <row r="6" spans="1:3" x14ac:dyDescent="0.35">
      <c r="A6" s="103" t="s">
        <v>216</v>
      </c>
      <c r="B6" s="106" t="s">
        <v>217</v>
      </c>
      <c r="C6" s="103"/>
    </row>
    <row r="7" spans="1:3" x14ac:dyDescent="0.35">
      <c r="A7" s="101" t="s">
        <v>218</v>
      </c>
      <c r="B7" s="104"/>
      <c r="C7" s="101"/>
    </row>
    <row r="8" spans="1:3" x14ac:dyDescent="0.35">
      <c r="A8" s="102" t="s">
        <v>219</v>
      </c>
      <c r="B8" s="105" t="s">
        <v>220</v>
      </c>
      <c r="C8" s="102" t="s">
        <v>221</v>
      </c>
    </row>
    <row r="9" spans="1:3" x14ac:dyDescent="0.35">
      <c r="A9" s="102" t="s">
        <v>210</v>
      </c>
      <c r="B9" s="105" t="s">
        <v>222</v>
      </c>
      <c r="C9" s="102" t="s">
        <v>223</v>
      </c>
    </row>
    <row r="10" spans="1:3" x14ac:dyDescent="0.35">
      <c r="A10" s="102" t="s">
        <v>212</v>
      </c>
      <c r="B10" s="105" t="s">
        <v>224</v>
      </c>
      <c r="C10" s="102" t="s">
        <v>225</v>
      </c>
    </row>
    <row r="11" spans="1:3" x14ac:dyDescent="0.35">
      <c r="A11" s="102" t="s">
        <v>214</v>
      </c>
      <c r="B11" s="105" t="s">
        <v>226</v>
      </c>
      <c r="C11" s="102" t="s">
        <v>225</v>
      </c>
    </row>
    <row r="12" spans="1:3" x14ac:dyDescent="0.35">
      <c r="A12" s="103" t="s">
        <v>216</v>
      </c>
      <c r="B12" s="106" t="s">
        <v>227</v>
      </c>
      <c r="C12" s="103" t="s">
        <v>225</v>
      </c>
    </row>
    <row r="13" spans="1:3" x14ac:dyDescent="0.35">
      <c r="A13" s="101" t="s">
        <v>228</v>
      </c>
      <c r="B13" s="104"/>
      <c r="C13" s="101"/>
    </row>
    <row r="14" spans="1:3" x14ac:dyDescent="0.35">
      <c r="A14" s="102" t="s">
        <v>229</v>
      </c>
      <c r="B14" s="105" t="s">
        <v>230</v>
      </c>
      <c r="C14" s="102" t="s">
        <v>225</v>
      </c>
    </row>
    <row r="15" spans="1:3" x14ac:dyDescent="0.35">
      <c r="A15" s="103" t="s">
        <v>231</v>
      </c>
      <c r="B15" s="106" t="s">
        <v>230</v>
      </c>
      <c r="C15" s="103" t="s">
        <v>225</v>
      </c>
    </row>
    <row r="16" spans="1:3" x14ac:dyDescent="0.35">
      <c r="A16" s="101" t="s">
        <v>232</v>
      </c>
      <c r="B16" s="104"/>
      <c r="C16" s="101"/>
    </row>
    <row r="17" spans="1:3" x14ac:dyDescent="0.35">
      <c r="A17" s="102" t="s">
        <v>233</v>
      </c>
      <c r="B17" s="105" t="s">
        <v>234</v>
      </c>
      <c r="C17" s="102" t="s">
        <v>235</v>
      </c>
    </row>
    <row r="18" spans="1:3" x14ac:dyDescent="0.35">
      <c r="A18" s="102" t="s">
        <v>236</v>
      </c>
      <c r="B18" s="105" t="s">
        <v>237</v>
      </c>
      <c r="C18" s="102" t="s">
        <v>238</v>
      </c>
    </row>
    <row r="19" spans="1:3" x14ac:dyDescent="0.35">
      <c r="A19" s="102" t="s">
        <v>239</v>
      </c>
      <c r="B19" s="105" t="s">
        <v>240</v>
      </c>
      <c r="C19" s="102"/>
    </row>
    <row r="20" spans="1:3" x14ac:dyDescent="0.35">
      <c r="A20" s="102" t="s">
        <v>241</v>
      </c>
      <c r="B20" s="105" t="s">
        <v>237</v>
      </c>
      <c r="C20" s="102"/>
    </row>
    <row r="21" spans="1:3" x14ac:dyDescent="0.35">
      <c r="A21" s="103" t="s">
        <v>242</v>
      </c>
      <c r="B21" s="106" t="s">
        <v>237</v>
      </c>
      <c r="C21" s="103"/>
    </row>
    <row r="22" spans="1:3" x14ac:dyDescent="0.35">
      <c r="A22" s="101" t="s">
        <v>243</v>
      </c>
      <c r="B22" s="104"/>
      <c r="C22" s="101"/>
    </row>
    <row r="23" spans="1:3" x14ac:dyDescent="0.35">
      <c r="A23" s="102" t="s">
        <v>244</v>
      </c>
      <c r="B23" s="105" t="s">
        <v>245</v>
      </c>
      <c r="C23" s="102" t="s">
        <v>246</v>
      </c>
    </row>
    <row r="24" spans="1:3" x14ac:dyDescent="0.35">
      <c r="A24" s="102" t="s">
        <v>247</v>
      </c>
      <c r="B24" s="105" t="s">
        <v>224</v>
      </c>
      <c r="C24" s="102" t="s">
        <v>248</v>
      </c>
    </row>
    <row r="25" spans="1:3" x14ac:dyDescent="0.35">
      <c r="A25" s="102" t="s">
        <v>249</v>
      </c>
      <c r="B25" s="105" t="s">
        <v>250</v>
      </c>
      <c r="C25" s="102" t="s">
        <v>251</v>
      </c>
    </row>
    <row r="26" spans="1:3" x14ac:dyDescent="0.35">
      <c r="A26" s="103" t="s">
        <v>252</v>
      </c>
      <c r="B26" s="106" t="s">
        <v>253</v>
      </c>
      <c r="C26" s="103" t="s">
        <v>254</v>
      </c>
    </row>
    <row r="27" spans="1:3" x14ac:dyDescent="0.35">
      <c r="A27" s="101" t="s">
        <v>255</v>
      </c>
      <c r="B27" s="104"/>
      <c r="C27" s="101"/>
    </row>
    <row r="28" spans="1:3" x14ac:dyDescent="0.35">
      <c r="A28" s="102" t="s">
        <v>256</v>
      </c>
      <c r="B28" s="105">
        <v>0.25</v>
      </c>
      <c r="C28" s="102" t="s">
        <v>257</v>
      </c>
    </row>
    <row r="29" spans="1:3" x14ac:dyDescent="0.35">
      <c r="A29" s="102" t="s">
        <v>258</v>
      </c>
      <c r="B29" s="105">
        <v>0.5</v>
      </c>
      <c r="C29" s="102" t="s">
        <v>257</v>
      </c>
    </row>
    <row r="30" spans="1:3" x14ac:dyDescent="0.35">
      <c r="A30" s="102" t="s">
        <v>259</v>
      </c>
      <c r="B30" s="105">
        <v>0.25</v>
      </c>
      <c r="C30" s="102" t="s">
        <v>260</v>
      </c>
    </row>
    <row r="31" spans="1:3" x14ac:dyDescent="0.35">
      <c r="A31" s="102" t="s">
        <v>261</v>
      </c>
      <c r="B31" s="105">
        <v>0.5</v>
      </c>
      <c r="C31" s="102" t="s">
        <v>260</v>
      </c>
    </row>
    <row r="32" spans="1:3" x14ac:dyDescent="0.35">
      <c r="A32" s="102" t="s">
        <v>262</v>
      </c>
      <c r="B32" s="105">
        <v>0.75</v>
      </c>
      <c r="C32" s="102" t="s">
        <v>263</v>
      </c>
    </row>
    <row r="33" spans="1:3" x14ac:dyDescent="0.35">
      <c r="A33" s="102" t="s">
        <v>264</v>
      </c>
      <c r="B33" s="105">
        <v>1.5</v>
      </c>
      <c r="C33" s="102" t="s">
        <v>263</v>
      </c>
    </row>
    <row r="34" spans="1:3" x14ac:dyDescent="0.35">
      <c r="A34" s="102" t="s">
        <v>265</v>
      </c>
      <c r="B34" s="105">
        <v>0.5</v>
      </c>
      <c r="C34" s="102" t="s">
        <v>263</v>
      </c>
    </row>
    <row r="35" spans="1:3" x14ac:dyDescent="0.35">
      <c r="A35" s="102" t="s">
        <v>266</v>
      </c>
      <c r="B35" s="105">
        <v>2</v>
      </c>
      <c r="C35" s="102" t="s">
        <v>223</v>
      </c>
    </row>
    <row r="36" spans="1:3" x14ac:dyDescent="0.35">
      <c r="A36" s="102" t="s">
        <v>267</v>
      </c>
      <c r="B36" s="105">
        <v>4</v>
      </c>
      <c r="C36" s="102" t="s">
        <v>268</v>
      </c>
    </row>
    <row r="37" spans="1:3" x14ac:dyDescent="0.35">
      <c r="A37" s="102" t="s">
        <v>269</v>
      </c>
      <c r="B37" s="105">
        <v>0.3</v>
      </c>
      <c r="C37" s="102" t="s">
        <v>270</v>
      </c>
    </row>
    <row r="38" spans="1:3" x14ac:dyDescent="0.35">
      <c r="A38" s="102" t="s">
        <v>271</v>
      </c>
      <c r="B38" s="105">
        <v>1</v>
      </c>
      <c r="C38" s="102" t="s">
        <v>268</v>
      </c>
    </row>
    <row r="39" spans="1:3" x14ac:dyDescent="0.35">
      <c r="A39" s="103" t="s">
        <v>272</v>
      </c>
      <c r="B39" s="106">
        <v>6.7000000000000004E-2</v>
      </c>
      <c r="C39" s="103" t="s">
        <v>270</v>
      </c>
    </row>
    <row r="40" spans="1:3" x14ac:dyDescent="0.35">
      <c r="A40" s="101" t="s">
        <v>273</v>
      </c>
      <c r="B40" s="104"/>
      <c r="C40" s="101"/>
    </row>
    <row r="41" spans="1:3" x14ac:dyDescent="0.35">
      <c r="A41" s="102" t="s">
        <v>274</v>
      </c>
      <c r="B41" s="105" t="s">
        <v>275</v>
      </c>
      <c r="C41" s="102" t="s">
        <v>276</v>
      </c>
    </row>
    <row r="42" spans="1:3" x14ac:dyDescent="0.35">
      <c r="A42" s="102" t="s">
        <v>277</v>
      </c>
      <c r="B42" s="105" t="s">
        <v>275</v>
      </c>
      <c r="C42" s="102" t="s">
        <v>278</v>
      </c>
    </row>
    <row r="43" spans="1:3" x14ac:dyDescent="0.35">
      <c r="A43" s="102" t="s">
        <v>279</v>
      </c>
      <c r="B43" s="105" t="s">
        <v>275</v>
      </c>
      <c r="C43" s="102" t="s">
        <v>280</v>
      </c>
    </row>
    <row r="44" spans="1:3" x14ac:dyDescent="0.35">
      <c r="A44" s="102" t="s">
        <v>281</v>
      </c>
      <c r="B44" s="105" t="s">
        <v>282</v>
      </c>
      <c r="C44" s="102" t="s">
        <v>283</v>
      </c>
    </row>
    <row r="45" spans="1:3" x14ac:dyDescent="0.35">
      <c r="A45" s="102" t="s">
        <v>284</v>
      </c>
      <c r="B45" s="105" t="s">
        <v>285</v>
      </c>
      <c r="C45" s="102" t="s">
        <v>286</v>
      </c>
    </row>
    <row r="46" spans="1:3" x14ac:dyDescent="0.35">
      <c r="A46" s="102" t="s">
        <v>287</v>
      </c>
      <c r="B46" s="105" t="s">
        <v>288</v>
      </c>
      <c r="C46" s="102" t="s">
        <v>289</v>
      </c>
    </row>
    <row r="47" spans="1:3" x14ac:dyDescent="0.35">
      <c r="A47" s="102" t="s">
        <v>290</v>
      </c>
      <c r="B47" s="105" t="s">
        <v>291</v>
      </c>
      <c r="C47" s="102" t="s">
        <v>292</v>
      </c>
    </row>
    <row r="48" spans="1:3" x14ac:dyDescent="0.35">
      <c r="A48" s="102" t="s">
        <v>293</v>
      </c>
      <c r="B48" s="105" t="s">
        <v>294</v>
      </c>
      <c r="C48" s="102" t="s">
        <v>295</v>
      </c>
    </row>
    <row r="49" spans="1:3" x14ac:dyDescent="0.35">
      <c r="A49" s="102" t="s">
        <v>296</v>
      </c>
      <c r="B49" s="105" t="s">
        <v>297</v>
      </c>
      <c r="C49" s="102" t="s">
        <v>298</v>
      </c>
    </row>
    <row r="50" spans="1:3" x14ac:dyDescent="0.35">
      <c r="A50" s="102" t="s">
        <v>299</v>
      </c>
      <c r="B50" s="105" t="s">
        <v>300</v>
      </c>
      <c r="C50" s="102" t="s">
        <v>301</v>
      </c>
    </row>
    <row r="51" spans="1:3" x14ac:dyDescent="0.35">
      <c r="A51" s="103" t="s">
        <v>302</v>
      </c>
      <c r="B51" s="106" t="s">
        <v>303</v>
      </c>
      <c r="C51" s="103" t="s">
        <v>301</v>
      </c>
    </row>
  </sheetData>
  <sheetProtection sheet="1" objects="1" scenarios="1"/>
  <phoneticPr fontId="2" type="noConversion"/>
  <pageMargins left="0.75" right="0.75" top="1" bottom="1" header="0.5" footer="0.5"/>
  <pageSetup orientation="portrait"/>
  <headerFooter alignWithMargins="0">
    <oddFooter>&amp;L File: &amp;F ! &amp;A&amp;R&amp;D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8B120-FC2E-467A-819F-6FF535D1FD56}">
  <sheetPr codeName="PROJECT">
    <pageSetUpPr fitToPage="1"/>
  </sheetPr>
  <dimension ref="A1:AF67"/>
  <sheetViews>
    <sheetView showGridLines="0" showRowColHeaders="0" zoomScaleNormal="100" workbookViewId="0">
      <selection activeCell="D6" sqref="D6"/>
    </sheetView>
  </sheetViews>
  <sheetFormatPr baseColWidth="10" defaultColWidth="9.1328125" defaultRowHeight="10.15" x14ac:dyDescent="0.3"/>
  <cols>
    <col min="1" max="1" width="8.73046875" style="4" customWidth="1"/>
    <col min="2" max="2" width="25.73046875" style="4" customWidth="1"/>
    <col min="3" max="5" width="12.73046875" style="4" customWidth="1"/>
    <col min="6" max="6" width="6.73046875" style="4" customWidth="1"/>
    <col min="7" max="7" width="18.73046875" style="4" customWidth="1"/>
    <col min="8" max="8" width="3" style="4" customWidth="1"/>
    <col min="9" max="9" width="11.3984375" style="18" customWidth="1"/>
    <col min="10" max="16384" width="9.1328125" style="4"/>
  </cols>
  <sheetData>
    <row r="1" spans="1:32" s="19" customFormat="1" ht="13.15" x14ac:dyDescent="0.4">
      <c r="A1" s="87" t="s">
        <v>304</v>
      </c>
      <c r="B1" s="19" t="s">
        <v>305</v>
      </c>
      <c r="I1" s="20"/>
      <c r="O1" s="164"/>
      <c r="AA1" s="164"/>
      <c r="AB1" s="164" t="s">
        <v>306</v>
      </c>
      <c r="AC1" s="183" t="s">
        <v>307</v>
      </c>
      <c r="AE1" s="19" t="s">
        <v>308</v>
      </c>
      <c r="AF1" s="19" t="s">
        <v>309</v>
      </c>
    </row>
    <row r="2" spans="1:32" ht="13.15" x14ac:dyDescent="0.4">
      <c r="A2" s="90"/>
      <c r="B2" s="164"/>
      <c r="C2" s="164"/>
      <c r="D2" s="164"/>
      <c r="E2" s="19"/>
      <c r="F2" s="19"/>
      <c r="G2" s="19"/>
      <c r="H2" s="164"/>
      <c r="I2" s="20"/>
      <c r="J2" s="164"/>
      <c r="K2" s="164"/>
      <c r="L2" s="164"/>
      <c r="M2" s="164"/>
      <c r="N2" s="164"/>
      <c r="O2" s="164"/>
      <c r="P2" s="164"/>
      <c r="Q2" s="164"/>
      <c r="R2" s="164"/>
      <c r="S2" s="164"/>
      <c r="T2" s="164"/>
      <c r="U2" s="164"/>
      <c r="V2" s="164"/>
      <c r="W2" s="164"/>
      <c r="X2" s="164"/>
      <c r="Y2" s="164"/>
      <c r="Z2" s="164"/>
      <c r="AA2" s="164" t="s">
        <v>310</v>
      </c>
      <c r="AB2" s="164">
        <v>0</v>
      </c>
      <c r="AC2" s="164">
        <v>0</v>
      </c>
      <c r="AD2" s="164"/>
      <c r="AE2" s="164" t="s">
        <v>311</v>
      </c>
      <c r="AF2" s="164"/>
    </row>
    <row r="3" spans="1:32" ht="15" customHeight="1" x14ac:dyDescent="0.4">
      <c r="A3" s="62" t="s">
        <v>312</v>
      </c>
      <c r="B3" s="153" t="s">
        <v>313</v>
      </c>
      <c r="C3" s="62" t="s">
        <v>314</v>
      </c>
      <c r="D3" s="184">
        <f ca="1">IF(AsOfDateOverride=0,TODAY(),AsOfDateOverride)</f>
        <v>46182</v>
      </c>
      <c r="E3" s="19"/>
      <c r="F3" s="19"/>
      <c r="G3" s="19"/>
      <c r="H3" s="185"/>
      <c r="J3" s="164"/>
      <c r="K3" s="164"/>
      <c r="L3" s="164"/>
      <c r="M3" s="164"/>
      <c r="N3" s="164"/>
      <c r="O3" s="164"/>
      <c r="P3" s="164"/>
      <c r="Q3" s="164"/>
      <c r="R3" s="164"/>
      <c r="S3" s="164"/>
      <c r="T3" s="164"/>
      <c r="U3" s="164"/>
      <c r="V3" s="164"/>
      <c r="W3" s="164"/>
      <c r="X3" s="164"/>
      <c r="Y3" s="164"/>
      <c r="Z3" s="164"/>
      <c r="AA3" s="164" t="s">
        <v>315</v>
      </c>
      <c r="AB3" s="164">
        <v>0</v>
      </c>
      <c r="AC3" s="164">
        <v>0</v>
      </c>
      <c r="AD3" s="164"/>
      <c r="AE3" s="164" t="s">
        <v>316</v>
      </c>
      <c r="AF3" s="164"/>
    </row>
    <row r="4" spans="1:32" ht="15" customHeight="1" x14ac:dyDescent="0.4">
      <c r="A4" s="62" t="s">
        <v>10</v>
      </c>
      <c r="B4" s="186" t="s">
        <v>317</v>
      </c>
      <c r="C4" s="62" t="s">
        <v>318</v>
      </c>
      <c r="D4" s="187">
        <v>46148</v>
      </c>
      <c r="E4" s="19"/>
      <c r="F4" s="19"/>
      <c r="G4" s="19"/>
      <c r="H4" s="164"/>
      <c r="J4" s="164"/>
      <c r="K4" s="164"/>
      <c r="L4" s="164"/>
      <c r="M4" s="164"/>
      <c r="N4" s="164"/>
      <c r="O4" s="164"/>
      <c r="P4" s="164"/>
      <c r="Q4" s="164"/>
      <c r="R4" s="164"/>
      <c r="S4" s="164"/>
      <c r="T4" s="164"/>
      <c r="U4" s="164"/>
      <c r="V4" s="164"/>
      <c r="W4" s="164"/>
      <c r="X4" s="164"/>
      <c r="Y4" s="164"/>
      <c r="Z4" s="164"/>
      <c r="AA4" s="164" t="s">
        <v>319</v>
      </c>
      <c r="AB4" s="164">
        <v>1</v>
      </c>
      <c r="AC4" s="164">
        <v>1</v>
      </c>
      <c r="AD4" s="164"/>
      <c r="AE4" s="164" t="s">
        <v>320</v>
      </c>
      <c r="AF4" s="164"/>
    </row>
    <row r="5" spans="1:32" ht="15" customHeight="1" x14ac:dyDescent="0.4">
      <c r="A5" s="62" t="s">
        <v>14</v>
      </c>
      <c r="B5" s="154" t="s">
        <v>321</v>
      </c>
      <c r="C5" s="89" t="s">
        <v>322</v>
      </c>
      <c r="D5" s="155" t="s">
        <v>323</v>
      </c>
      <c r="E5" s="120" t="s">
        <v>324</v>
      </c>
      <c r="F5" s="119">
        <v>8</v>
      </c>
      <c r="G5" s="19"/>
      <c r="H5" s="185"/>
      <c r="J5" s="164"/>
      <c r="K5" s="164"/>
      <c r="L5" s="164"/>
      <c r="M5" s="164"/>
      <c r="N5" s="164"/>
      <c r="O5" s="164"/>
      <c r="P5" s="164"/>
      <c r="Q5" s="164"/>
      <c r="R5" s="164"/>
      <c r="S5" s="164"/>
      <c r="T5" s="164"/>
      <c r="U5" s="164"/>
      <c r="V5" s="164"/>
      <c r="W5" s="164"/>
      <c r="X5" s="164"/>
      <c r="Y5" s="164"/>
      <c r="Z5" s="164"/>
      <c r="AA5" s="164" t="s">
        <v>325</v>
      </c>
      <c r="AB5" s="164">
        <v>1</v>
      </c>
      <c r="AC5" s="164">
        <v>1</v>
      </c>
      <c r="AD5" s="164"/>
      <c r="AE5" s="164" t="s">
        <v>186</v>
      </c>
      <c r="AF5" s="164"/>
    </row>
    <row r="6" spans="1:32" ht="15" customHeight="1" x14ac:dyDescent="0.4">
      <c r="A6" s="62" t="s">
        <v>326</v>
      </c>
      <c r="B6" s="164"/>
      <c r="C6" s="62" t="s">
        <v>327</v>
      </c>
      <c r="D6" s="153">
        <v>1</v>
      </c>
      <c r="E6" s="19"/>
      <c r="F6" s="19"/>
      <c r="G6" s="19"/>
      <c r="H6" s="164"/>
      <c r="J6" s="164"/>
      <c r="K6" s="164"/>
      <c r="L6" s="164"/>
      <c r="M6" s="164"/>
      <c r="N6" s="164"/>
      <c r="O6" s="164"/>
      <c r="P6" s="164"/>
      <c r="Q6" s="164"/>
      <c r="R6" s="164"/>
      <c r="S6" s="164"/>
      <c r="T6" s="164"/>
      <c r="U6" s="164"/>
      <c r="V6" s="164"/>
      <c r="W6" s="164"/>
      <c r="X6" s="164"/>
      <c r="Y6" s="164"/>
      <c r="Z6" s="164"/>
      <c r="AA6" s="164" t="s">
        <v>328</v>
      </c>
      <c r="AB6" s="164">
        <v>0</v>
      </c>
      <c r="AC6" s="164">
        <v>0</v>
      </c>
      <c r="AD6" s="164"/>
      <c r="AE6" s="164" t="s">
        <v>329</v>
      </c>
      <c r="AF6" s="164"/>
    </row>
    <row r="7" spans="1:32" ht="21" x14ac:dyDescent="0.4">
      <c r="A7" s="188" t="s">
        <v>330</v>
      </c>
      <c r="B7" s="189" t="s">
        <v>331</v>
      </c>
      <c r="C7" s="75" t="s">
        <v>332</v>
      </c>
      <c r="D7" s="190"/>
      <c r="E7" s="19"/>
      <c r="F7" s="19"/>
      <c r="G7" s="19"/>
      <c r="H7" s="164"/>
      <c r="J7" s="164"/>
      <c r="K7" s="164"/>
      <c r="L7" s="164"/>
      <c r="M7" s="164"/>
      <c r="N7" s="164"/>
      <c r="O7" s="164"/>
      <c r="P7" s="164"/>
      <c r="Q7" s="164"/>
      <c r="R7" s="164"/>
      <c r="S7" s="164"/>
      <c r="T7" s="164"/>
      <c r="U7" s="164"/>
      <c r="V7" s="164"/>
      <c r="W7" s="164"/>
      <c r="X7" s="164"/>
      <c r="Y7" s="164"/>
      <c r="Z7" s="164"/>
      <c r="AA7" s="164" t="s">
        <v>333</v>
      </c>
      <c r="AB7" s="164">
        <v>3.4722222222222223</v>
      </c>
      <c r="AC7" s="164"/>
      <c r="AD7" s="164"/>
      <c r="AE7" s="164" t="s">
        <v>334</v>
      </c>
      <c r="AF7" s="164"/>
    </row>
    <row r="8" spans="1:32" ht="15" customHeight="1" x14ac:dyDescent="0.4">
      <c r="A8" s="164"/>
      <c r="B8" s="164"/>
      <c r="C8" s="164"/>
      <c r="D8" s="164"/>
      <c r="E8" s="19"/>
      <c r="F8" s="19"/>
      <c r="G8" s="19"/>
      <c r="H8" s="164"/>
      <c r="I8" s="131"/>
      <c r="J8" s="164"/>
      <c r="K8" s="164"/>
      <c r="L8" s="164"/>
      <c r="M8" s="164"/>
      <c r="N8" s="164"/>
      <c r="O8" s="164"/>
      <c r="P8" s="164"/>
      <c r="Q8" s="164"/>
      <c r="R8" s="164"/>
      <c r="S8" s="164"/>
      <c r="T8" s="164"/>
      <c r="U8" s="164"/>
      <c r="V8" s="164"/>
      <c r="W8" s="164"/>
      <c r="X8" s="164"/>
      <c r="Y8" s="164"/>
      <c r="Z8" s="164"/>
      <c r="AA8" s="164" t="s">
        <v>335</v>
      </c>
      <c r="AB8" s="164">
        <v>2.7777777777777777</v>
      </c>
      <c r="AC8" s="164"/>
      <c r="AD8" s="164"/>
      <c r="AE8" s="164" t="s">
        <v>190</v>
      </c>
      <c r="AF8" s="164"/>
    </row>
    <row r="9" spans="1:32" ht="15" customHeight="1" x14ac:dyDescent="0.4">
      <c r="A9" s="164"/>
      <c r="B9" s="164"/>
      <c r="C9" s="164"/>
      <c r="D9" s="164"/>
      <c r="E9" s="19"/>
      <c r="F9" s="19"/>
      <c r="G9" s="19"/>
      <c r="H9" s="164"/>
      <c r="I9" s="131"/>
      <c r="J9" s="164"/>
      <c r="K9" s="164"/>
      <c r="L9" s="164"/>
      <c r="M9" s="164"/>
      <c r="N9" s="164"/>
      <c r="O9" s="164"/>
      <c r="P9" s="164"/>
      <c r="Q9" s="164"/>
      <c r="R9" s="164"/>
      <c r="S9" s="164"/>
      <c r="T9" s="164"/>
      <c r="U9" s="164"/>
      <c r="V9" s="164"/>
      <c r="W9" s="164"/>
      <c r="X9" s="164"/>
      <c r="Y9" s="164"/>
      <c r="Z9" s="164"/>
      <c r="AA9" s="164" t="s">
        <v>336</v>
      </c>
      <c r="AB9" s="164">
        <v>2.0833333333333335</v>
      </c>
      <c r="AC9" s="164"/>
      <c r="AD9" s="164"/>
      <c r="AE9" s="164" t="s">
        <v>337</v>
      </c>
      <c r="AF9" s="164"/>
    </row>
    <row r="10" spans="1:32" ht="13.15" x14ac:dyDescent="0.4">
      <c r="A10" s="185"/>
      <c r="B10" s="164"/>
      <c r="C10" s="164"/>
      <c r="D10" s="164"/>
      <c r="E10" s="19"/>
      <c r="F10" s="19"/>
      <c r="G10" s="19"/>
      <c r="H10" s="164"/>
      <c r="J10" s="164"/>
      <c r="K10" s="164"/>
      <c r="L10" s="164"/>
      <c r="M10" s="164"/>
      <c r="N10" s="164"/>
      <c r="O10" s="164"/>
      <c r="P10" s="164"/>
      <c r="Q10" s="164"/>
      <c r="R10" s="164"/>
      <c r="S10" s="164"/>
      <c r="T10" s="164"/>
      <c r="U10" s="164"/>
      <c r="V10" s="164"/>
      <c r="W10" s="164"/>
      <c r="X10" s="164"/>
      <c r="Y10" s="164"/>
      <c r="Z10" s="164"/>
      <c r="AA10" s="164" t="s">
        <v>338</v>
      </c>
      <c r="AB10" s="164">
        <v>0</v>
      </c>
      <c r="AC10" s="164"/>
      <c r="AD10" s="164"/>
      <c r="AE10" s="164" t="s">
        <v>339</v>
      </c>
      <c r="AF10" s="164"/>
    </row>
    <row r="11" spans="1:32" x14ac:dyDescent="0.3">
      <c r="A11" s="185"/>
      <c r="B11" s="164"/>
      <c r="C11" s="164"/>
      <c r="D11" s="164"/>
      <c r="E11" s="164"/>
      <c r="F11" s="164"/>
      <c r="G11" s="164"/>
      <c r="H11" s="164"/>
      <c r="J11" s="164"/>
      <c r="K11" s="164"/>
      <c r="L11" s="164"/>
      <c r="M11" s="164"/>
      <c r="N11" s="164"/>
      <c r="O11" s="164"/>
      <c r="P11" s="164"/>
      <c r="Q11" s="164"/>
      <c r="R11" s="164"/>
      <c r="S11" s="164"/>
      <c r="T11" s="164"/>
      <c r="U11" s="164"/>
      <c r="V11" s="164"/>
      <c r="W11" s="164"/>
      <c r="X11" s="164"/>
      <c r="Y11" s="164"/>
      <c r="Z11" s="164"/>
      <c r="AA11" s="164" t="s">
        <v>340</v>
      </c>
      <c r="AB11" s="164">
        <v>0</v>
      </c>
      <c r="AC11" s="164"/>
      <c r="AD11" s="164"/>
      <c r="AE11" s="164" t="s">
        <v>341</v>
      </c>
      <c r="AF11" s="164"/>
    </row>
    <row r="12" spans="1:32" x14ac:dyDescent="0.3">
      <c r="A12" s="164"/>
      <c r="B12" s="164"/>
      <c r="C12" s="164"/>
      <c r="D12" s="164"/>
      <c r="E12" s="164"/>
      <c r="F12" s="164"/>
      <c r="G12" s="164"/>
      <c r="H12" s="164"/>
      <c r="J12" s="164"/>
      <c r="K12" s="164"/>
      <c r="L12" s="164"/>
      <c r="M12" s="164"/>
      <c r="N12" s="164"/>
      <c r="O12" s="164"/>
      <c r="P12" s="164"/>
      <c r="Q12" s="164"/>
      <c r="R12" s="164"/>
      <c r="S12" s="164"/>
      <c r="T12" s="164"/>
      <c r="U12" s="164"/>
      <c r="V12" s="164"/>
      <c r="W12" s="164"/>
      <c r="X12" s="164"/>
      <c r="Y12" s="164"/>
      <c r="Z12" s="164"/>
      <c r="AA12" s="164" t="s">
        <v>342</v>
      </c>
      <c r="AB12" s="164">
        <v>0</v>
      </c>
      <c r="AC12" s="164"/>
      <c r="AD12" s="164"/>
      <c r="AE12" s="164" t="s">
        <v>343</v>
      </c>
      <c r="AF12" s="164"/>
    </row>
    <row r="13" spans="1:32" x14ac:dyDescent="0.3">
      <c r="A13" s="164"/>
      <c r="B13" s="164"/>
      <c r="C13" s="164"/>
      <c r="D13" s="164"/>
      <c r="E13" s="164"/>
      <c r="F13" s="164"/>
      <c r="G13" s="164"/>
      <c r="H13" s="164"/>
      <c r="J13" s="164"/>
      <c r="K13" s="164"/>
      <c r="L13" s="164"/>
      <c r="M13" s="164"/>
      <c r="N13" s="164"/>
      <c r="O13" s="164"/>
      <c r="P13" s="164"/>
      <c r="Q13" s="164"/>
      <c r="R13" s="164"/>
      <c r="S13" s="164"/>
      <c r="T13" s="164"/>
      <c r="U13" s="164"/>
      <c r="V13" s="164"/>
      <c r="W13" s="164"/>
      <c r="X13" s="164"/>
      <c r="Y13" s="164"/>
      <c r="Z13" s="164"/>
      <c r="AA13" s="164" t="s">
        <v>344</v>
      </c>
      <c r="AB13" s="164">
        <v>0</v>
      </c>
      <c r="AC13" s="164"/>
      <c r="AD13" s="164"/>
      <c r="AE13" s="164" t="s">
        <v>345</v>
      </c>
      <c r="AF13" s="164"/>
    </row>
    <row r="14" spans="1:32" x14ac:dyDescent="0.3">
      <c r="A14" s="164"/>
      <c r="B14" s="164"/>
      <c r="C14" s="164"/>
      <c r="D14" s="164"/>
      <c r="E14" s="164"/>
      <c r="F14" s="164"/>
      <c r="G14" s="164"/>
      <c r="H14" s="164"/>
      <c r="J14" s="164"/>
      <c r="K14" s="164"/>
      <c r="L14" s="164"/>
      <c r="M14" s="164"/>
      <c r="N14" s="164"/>
      <c r="O14" s="164"/>
      <c r="P14" s="164"/>
      <c r="Q14" s="164"/>
      <c r="R14" s="164"/>
      <c r="S14" s="164"/>
      <c r="T14" s="164"/>
      <c r="U14" s="164"/>
      <c r="V14" s="164"/>
      <c r="W14" s="164"/>
      <c r="X14" s="164"/>
      <c r="Y14" s="164"/>
      <c r="Z14" s="164"/>
      <c r="AA14" s="164" t="s">
        <v>346</v>
      </c>
      <c r="AB14" s="164">
        <f>AB2*AB3*AB4*AB5*AB6</f>
        <v>0</v>
      </c>
      <c r="AC14" s="164">
        <f>AC2*AC3*AC4*AC5*AC6</f>
        <v>0</v>
      </c>
      <c r="AD14" s="164"/>
      <c r="AE14" s="164" t="s">
        <v>347</v>
      </c>
      <c r="AF14" s="164"/>
    </row>
    <row r="15" spans="1:32" x14ac:dyDescent="0.3">
      <c r="A15" s="164"/>
      <c r="B15" s="164"/>
      <c r="C15" s="164"/>
      <c r="D15" s="164"/>
      <c r="E15" s="164"/>
      <c r="F15" s="164"/>
      <c r="G15" s="164"/>
      <c r="H15" s="164"/>
      <c r="J15" s="164"/>
      <c r="K15" s="164"/>
      <c r="L15" s="164"/>
      <c r="M15" s="164"/>
      <c r="N15" s="164"/>
      <c r="O15" s="164"/>
      <c r="P15" s="164"/>
      <c r="Q15" s="164"/>
      <c r="R15" s="164"/>
      <c r="S15" s="164"/>
      <c r="T15" s="164"/>
      <c r="U15" s="164"/>
      <c r="V15" s="164"/>
      <c r="W15" s="164"/>
      <c r="X15" s="164"/>
      <c r="Y15" s="164"/>
      <c r="Z15" s="164"/>
      <c r="AA15" s="164"/>
      <c r="AB15" s="164"/>
      <c r="AC15" s="164"/>
      <c r="AD15" s="164"/>
      <c r="AE15" s="164" t="s">
        <v>348</v>
      </c>
      <c r="AF15" s="164"/>
    </row>
    <row r="16" spans="1:32" x14ac:dyDescent="0.3">
      <c r="A16" s="164"/>
      <c r="B16" s="164"/>
      <c r="C16" s="164"/>
      <c r="D16" s="164"/>
      <c r="E16" s="164"/>
      <c r="F16" s="164"/>
      <c r="G16" s="164"/>
      <c r="H16" s="164"/>
      <c r="J16" s="164"/>
      <c r="K16" s="164"/>
      <c r="L16" s="164"/>
      <c r="M16" s="164"/>
      <c r="N16" s="164"/>
      <c r="O16" s="164"/>
      <c r="P16" s="164"/>
      <c r="Q16" s="164"/>
      <c r="R16" s="164"/>
      <c r="S16" s="164"/>
      <c r="T16" s="164"/>
      <c r="U16" s="164"/>
      <c r="V16" s="164"/>
      <c r="W16" s="164"/>
      <c r="X16" s="164"/>
      <c r="Y16" s="164"/>
      <c r="Z16" s="164"/>
      <c r="AA16" s="164"/>
      <c r="AB16" s="164"/>
      <c r="AC16" s="164"/>
      <c r="AD16" s="164"/>
      <c r="AE16" s="164" t="s">
        <v>349</v>
      </c>
      <c r="AF16" s="164"/>
    </row>
    <row r="17" spans="2:31" x14ac:dyDescent="0.3">
      <c r="B17" s="164"/>
      <c r="C17" s="164"/>
      <c r="D17" s="164"/>
      <c r="E17" s="164"/>
      <c r="F17" s="164"/>
      <c r="G17" s="164"/>
      <c r="H17" s="164"/>
      <c r="J17" s="164"/>
      <c r="K17" s="164"/>
      <c r="L17" s="164"/>
      <c r="M17" s="164"/>
      <c r="N17" s="164"/>
      <c r="O17" s="164"/>
      <c r="P17" s="164"/>
      <c r="Q17" s="164"/>
      <c r="R17" s="164"/>
      <c r="S17" s="164"/>
      <c r="T17" s="164"/>
      <c r="U17" s="164"/>
      <c r="V17" s="164"/>
      <c r="W17" s="164"/>
      <c r="X17" s="164"/>
      <c r="Y17" s="164"/>
      <c r="Z17" s="164"/>
      <c r="AA17" s="164"/>
      <c r="AB17" s="164"/>
      <c r="AC17" s="164"/>
      <c r="AD17" s="164"/>
      <c r="AE17" s="164" t="s">
        <v>350</v>
      </c>
    </row>
    <row r="18" spans="2:31" x14ac:dyDescent="0.3">
      <c r="B18" s="164"/>
      <c r="C18" s="164"/>
      <c r="D18" s="164"/>
      <c r="E18" s="164"/>
      <c r="F18" s="164"/>
      <c r="G18" s="164"/>
      <c r="H18" s="164"/>
      <c r="J18" s="164"/>
      <c r="K18" s="164"/>
      <c r="L18" s="164"/>
      <c r="M18" s="164"/>
      <c r="N18" s="164"/>
      <c r="O18" s="164"/>
      <c r="P18" s="164"/>
      <c r="Q18" s="164"/>
      <c r="R18" s="164"/>
      <c r="S18" s="164"/>
      <c r="T18" s="164"/>
      <c r="U18" s="164"/>
      <c r="V18" s="164"/>
      <c r="W18" s="164"/>
      <c r="X18" s="164"/>
      <c r="Y18" s="164"/>
      <c r="Z18" s="164"/>
      <c r="AA18" s="164"/>
      <c r="AB18" s="164"/>
      <c r="AC18" s="164"/>
      <c r="AD18" s="164"/>
      <c r="AE18" s="164" t="s">
        <v>351</v>
      </c>
    </row>
    <row r="19" spans="2:31" x14ac:dyDescent="0.3">
      <c r="B19" s="164"/>
      <c r="C19" s="164"/>
      <c r="D19" s="164"/>
      <c r="E19" s="164"/>
      <c r="F19" s="164"/>
      <c r="G19" s="164"/>
      <c r="H19" s="164"/>
      <c r="J19" s="164"/>
      <c r="K19" s="164"/>
      <c r="L19" s="164"/>
      <c r="M19" s="164"/>
      <c r="N19" s="164"/>
      <c r="O19" s="164"/>
      <c r="P19" s="164"/>
      <c r="Q19" s="164"/>
      <c r="R19" s="164"/>
      <c r="S19" s="164"/>
      <c r="T19" s="164"/>
      <c r="U19" s="164"/>
      <c r="V19" s="164"/>
      <c r="W19" s="164"/>
      <c r="X19" s="164"/>
      <c r="Y19" s="164"/>
      <c r="Z19" s="164"/>
      <c r="AA19" s="164"/>
      <c r="AB19" s="164"/>
      <c r="AC19" s="164"/>
      <c r="AD19" s="164"/>
      <c r="AE19" s="164" t="s">
        <v>352</v>
      </c>
    </row>
    <row r="20" spans="2:31" x14ac:dyDescent="0.3">
      <c r="B20" s="164"/>
      <c r="C20" s="164"/>
      <c r="D20" s="164"/>
      <c r="E20" s="164"/>
      <c r="F20" s="164"/>
      <c r="G20" s="164"/>
      <c r="H20" s="164"/>
      <c r="J20" s="164"/>
      <c r="K20" s="164"/>
      <c r="L20" s="164"/>
      <c r="M20" s="164"/>
      <c r="N20" s="164"/>
      <c r="O20" s="164"/>
      <c r="P20" s="164"/>
      <c r="Q20" s="164"/>
      <c r="R20" s="164"/>
      <c r="S20" s="164"/>
      <c r="T20" s="164"/>
      <c r="U20" s="164"/>
      <c r="V20" s="164"/>
      <c r="W20" s="164"/>
      <c r="X20" s="164"/>
      <c r="Y20" s="164"/>
      <c r="Z20" s="164"/>
      <c r="AA20" s="164"/>
      <c r="AB20" s="164"/>
      <c r="AC20" s="164"/>
      <c r="AD20" s="164"/>
      <c r="AE20" s="164" t="s">
        <v>353</v>
      </c>
    </row>
    <row r="21" spans="2:31" x14ac:dyDescent="0.3">
      <c r="B21" s="164"/>
      <c r="C21" s="164"/>
      <c r="D21" s="164"/>
      <c r="E21" s="164"/>
      <c r="F21" s="164"/>
      <c r="G21" s="164"/>
      <c r="H21" s="164"/>
      <c r="J21" s="164"/>
      <c r="K21" s="164"/>
      <c r="L21" s="164"/>
      <c r="M21" s="164"/>
      <c r="N21" s="164"/>
      <c r="O21" s="164"/>
      <c r="P21" s="164"/>
      <c r="Q21" s="164"/>
      <c r="R21" s="164"/>
      <c r="S21" s="164"/>
      <c r="T21" s="164"/>
      <c r="U21" s="164"/>
      <c r="V21" s="164"/>
      <c r="W21" s="164"/>
      <c r="X21" s="164"/>
      <c r="Y21" s="164"/>
      <c r="Z21" s="164"/>
      <c r="AA21" s="164"/>
      <c r="AB21" s="164"/>
      <c r="AC21" s="164"/>
      <c r="AD21" s="164"/>
      <c r="AE21" s="164" t="s">
        <v>354</v>
      </c>
    </row>
    <row r="22" spans="2:31" x14ac:dyDescent="0.3">
      <c r="B22" s="164"/>
      <c r="C22" s="164"/>
      <c r="D22" s="164"/>
      <c r="E22" s="164"/>
      <c r="F22" s="164"/>
      <c r="G22" s="164"/>
      <c r="H22" s="164"/>
      <c r="J22" s="164"/>
      <c r="K22" s="164"/>
      <c r="L22" s="164"/>
      <c r="M22" s="164"/>
      <c r="N22" s="164"/>
      <c r="O22" s="164"/>
      <c r="P22" s="164"/>
      <c r="Q22" s="164"/>
      <c r="R22" s="164"/>
      <c r="S22" s="164"/>
      <c r="T22" s="164"/>
      <c r="U22" s="164"/>
      <c r="V22" s="164"/>
      <c r="W22" s="164"/>
      <c r="X22" s="164"/>
      <c r="Y22" s="164"/>
      <c r="Z22" s="164"/>
      <c r="AA22" s="164"/>
      <c r="AB22" s="164"/>
      <c r="AC22" s="164"/>
      <c r="AD22" s="164"/>
      <c r="AE22" s="164" t="s">
        <v>355</v>
      </c>
    </row>
    <row r="23" spans="2:31" x14ac:dyDescent="0.3">
      <c r="B23" s="164"/>
      <c r="C23" s="164"/>
      <c r="D23" s="164"/>
      <c r="E23" s="164"/>
      <c r="F23" s="164"/>
      <c r="G23" s="164"/>
      <c r="H23" s="164"/>
      <c r="J23" s="164"/>
      <c r="K23" s="164"/>
      <c r="L23" s="164"/>
      <c r="M23" s="164"/>
      <c r="N23" s="164"/>
      <c r="O23" s="164"/>
      <c r="P23" s="164"/>
      <c r="Q23" s="164"/>
      <c r="R23" s="164"/>
      <c r="S23" s="164"/>
      <c r="T23" s="164"/>
      <c r="U23" s="164"/>
      <c r="V23" s="164"/>
      <c r="W23" s="164"/>
      <c r="X23" s="164"/>
      <c r="Y23" s="164"/>
      <c r="Z23" s="164"/>
      <c r="AA23" s="164"/>
      <c r="AB23" s="164"/>
      <c r="AC23" s="164"/>
      <c r="AD23" s="164"/>
      <c r="AE23" s="164" t="s">
        <v>356</v>
      </c>
    </row>
    <row r="24" spans="2:31" x14ac:dyDescent="0.3">
      <c r="B24" s="164"/>
      <c r="C24" s="164"/>
      <c r="D24" s="164"/>
      <c r="E24" s="164"/>
      <c r="F24" s="164"/>
      <c r="G24" s="164"/>
      <c r="H24" s="164"/>
      <c r="J24" s="164"/>
      <c r="K24" s="164"/>
      <c r="L24" s="164"/>
      <c r="M24" s="164"/>
      <c r="N24" s="164"/>
      <c r="O24" s="164"/>
      <c r="P24" s="164"/>
      <c r="Q24" s="164"/>
      <c r="R24" s="164"/>
      <c r="S24" s="164"/>
      <c r="T24" s="164"/>
      <c r="U24" s="164"/>
      <c r="V24" s="164"/>
      <c r="W24" s="164"/>
      <c r="X24" s="164"/>
      <c r="Y24" s="164"/>
      <c r="Z24" s="164"/>
      <c r="AA24" s="164"/>
      <c r="AB24" s="164"/>
      <c r="AC24" s="164"/>
      <c r="AD24" s="164"/>
      <c r="AE24" s="164"/>
    </row>
    <row r="25" spans="2:31" x14ac:dyDescent="0.3">
      <c r="B25" s="164"/>
      <c r="C25" s="164"/>
      <c r="D25" s="164"/>
      <c r="E25" s="164"/>
      <c r="F25" s="164"/>
      <c r="G25" s="164"/>
      <c r="H25" s="164"/>
      <c r="J25" s="164"/>
      <c r="K25" s="164"/>
      <c r="L25" s="164"/>
      <c r="M25" s="164"/>
      <c r="N25" s="164"/>
      <c r="O25" s="164"/>
      <c r="P25" s="164"/>
      <c r="Q25" s="164"/>
      <c r="R25" s="164"/>
      <c r="S25" s="164"/>
      <c r="T25" s="164"/>
      <c r="U25" s="164"/>
      <c r="V25" s="164"/>
      <c r="W25" s="164"/>
      <c r="X25" s="164"/>
      <c r="Y25" s="164"/>
      <c r="Z25" s="164"/>
      <c r="AA25" s="164"/>
      <c r="AB25" s="164"/>
      <c r="AC25" s="164"/>
      <c r="AD25" s="164"/>
      <c r="AE25" s="164"/>
    </row>
    <row r="26" spans="2:31" x14ac:dyDescent="0.3">
      <c r="B26" s="164"/>
      <c r="C26" s="164"/>
      <c r="D26" s="164"/>
      <c r="E26" s="164"/>
      <c r="F26" s="164"/>
      <c r="G26" s="164"/>
      <c r="H26" s="164"/>
      <c r="J26" s="164"/>
      <c r="K26" s="164"/>
      <c r="L26" s="164"/>
      <c r="M26" s="164"/>
      <c r="N26" s="164"/>
      <c r="O26" s="164"/>
      <c r="P26" s="164"/>
      <c r="Q26" s="164"/>
      <c r="R26" s="164"/>
      <c r="S26" s="164"/>
      <c r="T26" s="164"/>
      <c r="U26" s="164"/>
      <c r="V26" s="164"/>
      <c r="W26" s="164"/>
      <c r="X26" s="164"/>
      <c r="Y26" s="164"/>
      <c r="Z26" s="164"/>
      <c r="AA26" s="164"/>
      <c r="AB26" s="164"/>
      <c r="AC26" s="164"/>
      <c r="AD26" s="164"/>
      <c r="AE26" s="164"/>
    </row>
    <row r="27" spans="2:31" x14ac:dyDescent="0.3">
      <c r="B27" s="164"/>
      <c r="C27" s="164"/>
      <c r="D27" s="164"/>
      <c r="E27" s="164"/>
      <c r="F27" s="164"/>
      <c r="G27" s="164"/>
      <c r="H27" s="164"/>
      <c r="J27" s="164"/>
      <c r="K27" s="164"/>
      <c r="L27" s="164"/>
      <c r="M27" s="164"/>
      <c r="N27" s="164"/>
      <c r="O27" s="164"/>
      <c r="P27" s="164"/>
      <c r="Q27" s="164"/>
      <c r="R27" s="164"/>
      <c r="S27" s="164"/>
      <c r="T27" s="164"/>
      <c r="U27" s="164"/>
      <c r="V27" s="164"/>
      <c r="W27" s="164"/>
      <c r="X27" s="164"/>
      <c r="Y27" s="164"/>
      <c r="Z27" s="164"/>
      <c r="AA27" s="164"/>
      <c r="AB27" s="164"/>
      <c r="AC27" s="164"/>
      <c r="AD27" s="164"/>
      <c r="AE27" s="164"/>
    </row>
    <row r="28" spans="2:31" x14ac:dyDescent="0.3">
      <c r="B28" s="164"/>
      <c r="C28" s="164"/>
      <c r="D28" s="164"/>
      <c r="E28" s="164"/>
      <c r="F28" s="164"/>
      <c r="G28" s="164"/>
      <c r="H28" s="164"/>
      <c r="J28" s="164"/>
      <c r="K28" s="164"/>
      <c r="L28" s="164"/>
      <c r="M28" s="164"/>
      <c r="N28" s="164"/>
      <c r="O28" s="164"/>
      <c r="P28" s="164"/>
      <c r="Q28" s="164"/>
      <c r="R28" s="164"/>
      <c r="S28" s="164"/>
      <c r="T28" s="164"/>
      <c r="U28" s="164"/>
      <c r="V28" s="164"/>
      <c r="W28" s="164"/>
      <c r="X28" s="164"/>
      <c r="Y28" s="164"/>
      <c r="Z28" s="164"/>
      <c r="AA28" s="164"/>
      <c r="AB28" s="164"/>
      <c r="AC28" s="164"/>
      <c r="AD28" s="164"/>
      <c r="AE28" s="164"/>
    </row>
    <row r="29" spans="2:31" x14ac:dyDescent="0.3">
      <c r="B29" s="164"/>
      <c r="C29" s="164"/>
      <c r="D29" s="164"/>
      <c r="E29" s="164"/>
      <c r="F29" s="164"/>
      <c r="G29" s="164"/>
      <c r="H29" s="164"/>
      <c r="J29" s="164"/>
      <c r="K29" s="164"/>
      <c r="L29" s="164"/>
      <c r="M29" s="164"/>
      <c r="N29" s="164"/>
      <c r="O29" s="164"/>
      <c r="P29" s="164"/>
      <c r="Q29" s="164"/>
      <c r="R29" s="164"/>
      <c r="S29" s="164"/>
      <c r="T29" s="164"/>
      <c r="U29" s="164"/>
      <c r="V29" s="164"/>
      <c r="W29" s="164"/>
      <c r="X29" s="164"/>
      <c r="Y29" s="164"/>
      <c r="Z29" s="164"/>
      <c r="AA29" s="164"/>
      <c r="AB29" s="164"/>
      <c r="AC29" s="164"/>
      <c r="AD29" s="164"/>
      <c r="AE29" s="164"/>
    </row>
    <row r="30" spans="2:31" x14ac:dyDescent="0.3">
      <c r="B30" s="164"/>
      <c r="C30" s="164"/>
      <c r="D30" s="164"/>
      <c r="E30" s="164"/>
      <c r="F30" s="164"/>
      <c r="G30" s="164"/>
      <c r="H30" s="164"/>
      <c r="J30" s="164"/>
      <c r="K30" s="164"/>
      <c r="L30" s="164"/>
      <c r="M30" s="164"/>
      <c r="N30" s="164"/>
      <c r="O30" s="164"/>
      <c r="P30" s="164"/>
      <c r="Q30" s="164"/>
      <c r="R30" s="164"/>
      <c r="S30" s="164"/>
      <c r="T30" s="164"/>
      <c r="U30" s="164"/>
      <c r="V30" s="164"/>
      <c r="W30" s="164"/>
      <c r="X30" s="164"/>
      <c r="Y30" s="164"/>
      <c r="Z30" s="164"/>
      <c r="AA30" s="164"/>
      <c r="AB30" s="164"/>
      <c r="AC30" s="164"/>
      <c r="AD30" s="164"/>
      <c r="AE30" s="164"/>
    </row>
    <row r="31" spans="2:31" x14ac:dyDescent="0.3">
      <c r="B31" s="164"/>
      <c r="C31" s="164"/>
      <c r="D31" s="164"/>
      <c r="E31" s="164"/>
      <c r="F31" s="164"/>
      <c r="G31" s="164"/>
      <c r="H31" s="164"/>
      <c r="J31" s="164"/>
      <c r="K31" s="164"/>
      <c r="L31" s="164"/>
      <c r="M31" s="164"/>
      <c r="N31" s="164"/>
      <c r="O31" s="164"/>
      <c r="P31" s="164"/>
      <c r="Q31" s="164"/>
      <c r="R31" s="164"/>
      <c r="S31" s="164"/>
      <c r="T31" s="164"/>
      <c r="U31" s="164"/>
      <c r="V31" s="164"/>
      <c r="W31" s="164"/>
      <c r="X31" s="164"/>
      <c r="Y31" s="164"/>
      <c r="Z31" s="164"/>
      <c r="AA31" s="164"/>
      <c r="AB31" s="164"/>
      <c r="AC31" s="164"/>
      <c r="AD31" s="164"/>
      <c r="AE31" s="164"/>
    </row>
    <row r="32" spans="2:31" x14ac:dyDescent="0.3">
      <c r="B32" s="164"/>
      <c r="C32" s="164"/>
      <c r="D32" s="164"/>
      <c r="E32" s="164"/>
      <c r="F32" s="164"/>
      <c r="G32" s="164"/>
      <c r="H32" s="164"/>
      <c r="J32" s="164"/>
      <c r="K32" s="164"/>
      <c r="L32" s="164"/>
      <c r="M32" s="164"/>
      <c r="N32" s="164"/>
      <c r="O32" s="164"/>
      <c r="P32" s="164"/>
      <c r="Q32" s="164"/>
      <c r="R32" s="164"/>
      <c r="S32" s="164"/>
      <c r="T32" s="164"/>
      <c r="U32" s="164"/>
      <c r="V32" s="164"/>
      <c r="W32" s="164"/>
      <c r="X32" s="164"/>
      <c r="Y32" s="164"/>
      <c r="Z32" s="164"/>
      <c r="AA32" s="164"/>
      <c r="AB32" s="164"/>
      <c r="AC32" s="164"/>
      <c r="AD32" s="164"/>
      <c r="AE32" s="164"/>
    </row>
    <row r="33" spans="2:8" x14ac:dyDescent="0.3">
      <c r="B33" s="164"/>
      <c r="C33" s="164"/>
      <c r="D33" s="164"/>
      <c r="E33" s="164"/>
      <c r="F33" s="164"/>
      <c r="G33" s="164"/>
      <c r="H33" s="164"/>
    </row>
    <row r="34" spans="2:8" x14ac:dyDescent="0.3">
      <c r="B34" s="164"/>
      <c r="C34" s="164"/>
      <c r="D34" s="164"/>
      <c r="E34" s="164"/>
      <c r="F34" s="164"/>
      <c r="G34" s="164"/>
      <c r="H34" s="164"/>
    </row>
    <row r="35" spans="2:8" x14ac:dyDescent="0.3">
      <c r="B35" s="164"/>
      <c r="C35" s="62"/>
      <c r="D35" s="164"/>
      <c r="E35" s="164"/>
      <c r="F35" s="164"/>
      <c r="G35" s="164"/>
      <c r="H35" s="164"/>
    </row>
    <row r="36" spans="2:8" x14ac:dyDescent="0.3">
      <c r="B36" s="164"/>
      <c r="C36" s="164"/>
      <c r="D36" s="164"/>
      <c r="E36" s="164"/>
      <c r="F36" s="164"/>
      <c r="G36" s="164"/>
      <c r="H36" s="164"/>
    </row>
    <row r="37" spans="2:8" x14ac:dyDescent="0.3">
      <c r="B37" s="164"/>
      <c r="C37" s="164"/>
      <c r="D37" s="164"/>
      <c r="E37" s="164"/>
      <c r="F37" s="164"/>
      <c r="G37" s="164"/>
      <c r="H37" s="164"/>
    </row>
    <row r="38" spans="2:8" x14ac:dyDescent="0.3">
      <c r="B38" s="35"/>
      <c r="C38" s="164"/>
      <c r="D38" s="164"/>
      <c r="E38" s="164"/>
      <c r="F38" s="164"/>
      <c r="G38" s="164"/>
      <c r="H38" s="164"/>
    </row>
    <row r="39" spans="2:8" x14ac:dyDescent="0.3">
      <c r="B39" s="164"/>
      <c r="C39" s="164"/>
      <c r="D39" s="164"/>
      <c r="E39" s="164"/>
      <c r="F39" s="164"/>
      <c r="G39" s="164"/>
      <c r="H39" s="164"/>
    </row>
    <row r="40" spans="2:8" x14ac:dyDescent="0.3">
      <c r="B40" s="164"/>
      <c r="C40" s="164"/>
      <c r="D40" s="164"/>
      <c r="E40" s="164"/>
      <c r="F40" s="164"/>
      <c r="G40" s="164"/>
      <c r="H40" s="164"/>
    </row>
    <row r="41" spans="2:8" x14ac:dyDescent="0.3">
      <c r="B41" s="164"/>
      <c r="C41" s="164"/>
      <c r="D41" s="164"/>
      <c r="E41" s="164"/>
      <c r="F41" s="164"/>
      <c r="G41" s="164"/>
      <c r="H41" s="164"/>
    </row>
    <row r="42" spans="2:8" x14ac:dyDescent="0.3">
      <c r="B42" s="164"/>
      <c r="C42" s="164"/>
      <c r="D42" s="164"/>
      <c r="E42" s="164"/>
      <c r="F42" s="164"/>
      <c r="G42" s="164"/>
      <c r="H42" s="164"/>
    </row>
    <row r="43" spans="2:8" x14ac:dyDescent="0.3">
      <c r="B43" s="164"/>
      <c r="C43" s="164"/>
      <c r="D43" s="164"/>
      <c r="E43" s="164"/>
      <c r="F43" s="164"/>
      <c r="G43" s="164"/>
      <c r="H43" s="164"/>
    </row>
    <row r="44" spans="2:8" x14ac:dyDescent="0.3">
      <c r="B44" s="164"/>
      <c r="C44" s="164"/>
      <c r="D44" s="164"/>
      <c r="E44" s="164"/>
      <c r="F44" s="164"/>
      <c r="G44" s="164"/>
      <c r="H44" s="164"/>
    </row>
    <row r="45" spans="2:8" x14ac:dyDescent="0.3">
      <c r="B45" s="164"/>
      <c r="C45" s="164"/>
      <c r="D45" s="164"/>
      <c r="E45" s="164"/>
      <c r="F45" s="164"/>
      <c r="G45" s="164"/>
      <c r="H45" s="164"/>
    </row>
    <row r="46" spans="2:8" x14ac:dyDescent="0.3">
      <c r="B46" s="164"/>
      <c r="C46" s="164"/>
      <c r="D46" s="164"/>
      <c r="E46" s="164"/>
      <c r="F46" s="164"/>
      <c r="G46" s="164"/>
      <c r="H46" s="164"/>
    </row>
    <row r="47" spans="2:8" x14ac:dyDescent="0.3">
      <c r="B47" s="164"/>
      <c r="C47" s="164"/>
      <c r="D47" s="164"/>
      <c r="E47" s="164"/>
      <c r="F47" s="164"/>
      <c r="G47" s="164"/>
      <c r="H47" s="164"/>
    </row>
    <row r="48" spans="2:8" x14ac:dyDescent="0.3">
      <c r="B48" s="164"/>
      <c r="C48" s="164"/>
      <c r="D48" s="164"/>
      <c r="E48" s="164"/>
      <c r="F48" s="164"/>
      <c r="G48" s="164"/>
      <c r="H48" s="164"/>
    </row>
    <row r="49" spans="2:8" x14ac:dyDescent="0.3">
      <c r="B49" s="164"/>
      <c r="C49" s="164"/>
      <c r="D49" s="164"/>
      <c r="E49" s="164"/>
      <c r="F49" s="164"/>
      <c r="G49" s="164"/>
      <c r="H49" s="164"/>
    </row>
    <row r="50" spans="2:8" x14ac:dyDescent="0.3">
      <c r="B50" s="164"/>
      <c r="C50" s="164"/>
      <c r="D50" s="164"/>
      <c r="E50" s="164"/>
      <c r="F50" s="164"/>
      <c r="G50" s="164"/>
      <c r="H50" s="164"/>
    </row>
    <row r="51" spans="2:8" x14ac:dyDescent="0.3">
      <c r="B51" s="164"/>
      <c r="C51" s="164"/>
      <c r="D51" s="164"/>
      <c r="E51" s="164"/>
      <c r="F51" s="164"/>
      <c r="G51" s="164"/>
      <c r="H51" s="164"/>
    </row>
    <row r="52" spans="2:8" x14ac:dyDescent="0.3">
      <c r="B52" s="164"/>
      <c r="C52" s="164"/>
      <c r="D52" s="164"/>
      <c r="E52" s="164"/>
      <c r="F52" s="164"/>
      <c r="G52" s="164"/>
      <c r="H52" s="164"/>
    </row>
    <row r="53" spans="2:8" x14ac:dyDescent="0.3">
      <c r="B53" s="164"/>
      <c r="C53" s="164"/>
      <c r="D53" s="164"/>
      <c r="E53" s="164"/>
      <c r="F53" s="164"/>
      <c r="G53" s="164"/>
      <c r="H53" s="164"/>
    </row>
    <row r="54" spans="2:8" x14ac:dyDescent="0.3">
      <c r="B54" s="164"/>
      <c r="C54" s="164"/>
      <c r="D54" s="164"/>
      <c r="E54" s="164"/>
      <c r="F54" s="164"/>
      <c r="G54" s="164"/>
      <c r="H54" s="164"/>
    </row>
    <row r="55" spans="2:8" x14ac:dyDescent="0.3">
      <c r="B55" s="164"/>
      <c r="C55" s="164"/>
      <c r="D55" s="164"/>
      <c r="E55" s="164"/>
      <c r="F55" s="164"/>
      <c r="G55" s="164"/>
      <c r="H55" s="164"/>
    </row>
    <row r="56" spans="2:8" x14ac:dyDescent="0.3">
      <c r="B56" s="164"/>
      <c r="C56" s="164"/>
      <c r="D56" s="164"/>
      <c r="E56" s="164"/>
      <c r="F56" s="164"/>
      <c r="G56" s="164"/>
      <c r="H56" s="164"/>
    </row>
    <row r="57" spans="2:8" x14ac:dyDescent="0.3">
      <c r="B57" s="164"/>
      <c r="C57" s="164"/>
      <c r="D57" s="164"/>
      <c r="E57" s="164"/>
      <c r="F57" s="164"/>
      <c r="G57" s="164"/>
      <c r="H57" s="164"/>
    </row>
    <row r="58" spans="2:8" x14ac:dyDescent="0.3">
      <c r="B58" s="164"/>
      <c r="C58" s="164"/>
      <c r="D58" s="164"/>
      <c r="E58" s="164"/>
      <c r="F58" s="164"/>
      <c r="G58" s="164"/>
      <c r="H58" s="164"/>
    </row>
    <row r="59" spans="2:8" x14ac:dyDescent="0.3">
      <c r="B59" s="164"/>
      <c r="C59" s="164"/>
      <c r="D59" s="164"/>
      <c r="E59" s="164"/>
      <c r="F59" s="164"/>
      <c r="G59" s="164"/>
      <c r="H59" s="164"/>
    </row>
    <row r="60" spans="2:8" x14ac:dyDescent="0.3">
      <c r="B60" s="164"/>
      <c r="C60" s="164"/>
      <c r="D60" s="164"/>
      <c r="E60" s="164"/>
      <c r="F60" s="164"/>
      <c r="G60" s="164"/>
      <c r="H60" s="164"/>
    </row>
    <row r="61" spans="2:8" x14ac:dyDescent="0.3">
      <c r="B61" s="164"/>
      <c r="C61" s="164"/>
      <c r="D61" s="164"/>
      <c r="E61" s="164"/>
      <c r="F61" s="164"/>
      <c r="G61" s="164"/>
      <c r="H61" s="164"/>
    </row>
    <row r="62" spans="2:8" x14ac:dyDescent="0.3">
      <c r="B62" s="164"/>
      <c r="C62" s="164"/>
      <c r="D62" s="164"/>
      <c r="E62" s="164"/>
      <c r="F62" s="164"/>
      <c r="G62" s="164"/>
      <c r="H62" s="164"/>
    </row>
    <row r="63" spans="2:8" x14ac:dyDescent="0.3">
      <c r="B63" s="164"/>
      <c r="C63" s="164"/>
      <c r="D63" s="164"/>
      <c r="E63" s="164"/>
      <c r="F63" s="164"/>
      <c r="G63" s="164"/>
      <c r="H63" s="164"/>
    </row>
    <row r="64" spans="2:8" x14ac:dyDescent="0.3">
      <c r="B64" s="164"/>
      <c r="C64" s="164"/>
      <c r="D64" s="164"/>
      <c r="E64" s="164"/>
      <c r="F64" s="164"/>
      <c r="G64" s="164"/>
      <c r="H64" s="164"/>
    </row>
    <row r="65" spans="2:8" x14ac:dyDescent="0.3">
      <c r="B65" s="164"/>
      <c r="C65" s="164"/>
      <c r="D65" s="164"/>
      <c r="E65" s="164"/>
      <c r="F65" s="164"/>
      <c r="G65" s="164"/>
      <c r="H65" s="164"/>
    </row>
    <row r="66" spans="2:8" x14ac:dyDescent="0.3">
      <c r="B66" s="164"/>
      <c r="C66" s="164"/>
      <c r="D66" s="164"/>
      <c r="E66" s="164"/>
      <c r="F66" s="164"/>
      <c r="G66" s="164"/>
      <c r="H66" s="164"/>
    </row>
    <row r="67" spans="2:8" x14ac:dyDescent="0.3">
      <c r="B67" s="164"/>
      <c r="C67" s="164"/>
      <c r="D67" s="164"/>
      <c r="E67" s="164"/>
      <c r="F67" s="164"/>
      <c r="G67" s="164"/>
      <c r="H67" s="164"/>
    </row>
  </sheetData>
  <phoneticPr fontId="2" type="noConversion"/>
  <dataValidations xWindow="414" yWindow="199" count="7">
    <dataValidation allowBlank="1" showInputMessage="1" showErrorMessage="1" promptTitle="Name" prompt="Enter your name." sqref="A3" xr:uid="{71E49D1E-FC0E-4857-9FAA-9555A5E26B5D}"/>
    <dataValidation allowBlank="1" showInputMessage="1" showErrorMessage="1" promptTitle="Project Name" prompt="Enter the project name." sqref="A4" xr:uid="{C6910DEE-729B-4650-A8E2-E1C8B8CDB981}"/>
    <dataValidation allowBlank="1" showInputMessage="1" showErrorMessage="1" promptTitle="Team Name" prompt="Enter the team name." sqref="A5" xr:uid="{3A2D3C93-81A4-4A16-8B7A-F54513B77460}"/>
    <dataValidation allowBlank="1" showInputMessage="1" showErrorMessage="1" promptTitle="Assembly" prompt="Select SYSTEM or the assembly to view." sqref="A6" xr:uid="{967F365F-13A1-401E-B302-1DCC04C0C80D}"/>
    <dataValidation allowBlank="1" showInputMessage="1" showErrorMessage="1" promptTitle="Project Start Date" prompt="Enter the Monday date of the week the project starts. The Start Date must be less than or equal to field Date. Use Today's Date Override to plan a project that starts in the future." sqref="C4" xr:uid="{A068BBA8-AC9C-4C2D-962D-1D94AF950A29}"/>
    <dataValidation allowBlank="1" showInputMessage="1" showErrorMessage="1" promptTitle="Date Override" prompt="This field overrides today's date, normally the system date. The override date must be set to a value that is greater than or equal to the project start date." sqref="C7" xr:uid="{F7800800-F1F9-4B15-9412-7284819FA7B0}"/>
    <dataValidation allowBlank="1" showInputMessage="1" showErrorMessage="1" promptTitle="Weeks" prompt="The weeks to display for earned value and hours per week charts. Enter a number or use the spinner control to select a number from 4 to max. schedule weeks." sqref="E5" xr:uid="{77B47BBE-4832-491A-9DE0-1269AA7D6B21}"/>
  </dataValidations>
  <pageMargins left="0.75" right="0.75" top="1" bottom="1" header="0.5" footer="0.5"/>
  <pageSetup fitToHeight="2" orientation="landscape"/>
  <headerFooter alignWithMargins="0">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3804" r:id="rId3" name="chartIndexDropDown">
              <controlPr defaultSize="0" autoLine="0" autoPict="0" macro="[0]!PROJECT.drawTSPeCHarts">
                <anchor moveWithCells="1">
                  <from>
                    <xdr:col>4</xdr:col>
                    <xdr:colOff>242888</xdr:colOff>
                    <xdr:row>5</xdr:row>
                    <xdr:rowOff>61913</xdr:rowOff>
                  </from>
                  <to>
                    <xdr:col>6</xdr:col>
                    <xdr:colOff>814388</xdr:colOff>
                    <xdr:row>6</xdr:row>
                    <xdr:rowOff>90488</xdr:rowOff>
                  </to>
                </anchor>
              </controlPr>
            </control>
          </mc:Choice>
        </mc:AlternateContent>
        <mc:AlternateContent xmlns:mc="http://schemas.openxmlformats.org/markup-compatibility/2006">
          <mc:Choice Requires="x14">
            <control shapeId="33811" r:id="rId4" name="DrawTSPeChart">
              <controlPr defaultSize="0" autoFill="0" autoPict="0" macro="[0]!PROJECT.drawTSPeCHarts">
                <anchor moveWithCells="1">
                  <from>
                    <xdr:col>6</xdr:col>
                    <xdr:colOff>842963</xdr:colOff>
                    <xdr:row>4</xdr:row>
                    <xdr:rowOff>14288</xdr:rowOff>
                  </from>
                  <to>
                    <xdr:col>7</xdr:col>
                    <xdr:colOff>147638</xdr:colOff>
                    <xdr:row>5</xdr:row>
                    <xdr:rowOff>23813</xdr:rowOff>
                  </to>
                </anchor>
              </controlPr>
            </control>
          </mc:Choice>
        </mc:AlternateContent>
        <mc:AlternateContent xmlns:mc="http://schemas.openxmlformats.org/markup-compatibility/2006">
          <mc:Choice Requires="x14">
            <control shapeId="33826" r:id="rId5" name="Button 34">
              <controlPr defaultSize="0" autoFill="0" autoPict="0" macro="[0]!PROJECT.printChart">
                <anchor moveWithCells="1">
                  <from>
                    <xdr:col>6</xdr:col>
                    <xdr:colOff>842963</xdr:colOff>
                    <xdr:row>5</xdr:row>
                    <xdr:rowOff>90488</xdr:rowOff>
                  </from>
                  <to>
                    <xdr:col>7</xdr:col>
                    <xdr:colOff>147638</xdr:colOff>
                    <xdr:row>6</xdr:row>
                    <xdr:rowOff>100013</xdr:rowOff>
                  </to>
                </anchor>
              </controlPr>
            </control>
          </mc:Choice>
        </mc:AlternateContent>
        <mc:AlternateContent xmlns:mc="http://schemas.openxmlformats.org/markup-compatibility/2006">
          <mc:Choice Requires="x14">
            <control shapeId="33838" r:id="rId6" name="CheckBoxUseTRL">
              <controlPr defaultSize="0" autoFill="0" autoLine="0" autoPict="0">
                <anchor moveWithCells="1">
                  <from>
                    <xdr:col>4</xdr:col>
                    <xdr:colOff>280988</xdr:colOff>
                    <xdr:row>1</xdr:row>
                    <xdr:rowOff>52388</xdr:rowOff>
                  </from>
                  <to>
                    <xdr:col>5</xdr:col>
                    <xdr:colOff>381000</xdr:colOff>
                    <xdr:row>2</xdr:row>
                    <xdr:rowOff>100013</xdr:rowOff>
                  </to>
                </anchor>
              </controlPr>
            </control>
          </mc:Choice>
        </mc:AlternateContent>
        <mc:AlternateContent xmlns:mc="http://schemas.openxmlformats.org/markup-compatibility/2006">
          <mc:Choice Requires="x14">
            <control shapeId="33840" r:id="rId7" name="CheckBoxUseDRL">
              <controlPr defaultSize="0" autoFill="0" autoLine="0" autoPict="0">
                <anchor moveWithCells="1">
                  <from>
                    <xdr:col>5</xdr:col>
                    <xdr:colOff>666750</xdr:colOff>
                    <xdr:row>1</xdr:row>
                    <xdr:rowOff>52388</xdr:rowOff>
                  </from>
                  <to>
                    <xdr:col>6</xdr:col>
                    <xdr:colOff>966788</xdr:colOff>
                    <xdr:row>2</xdr:row>
                    <xdr:rowOff>100013</xdr:rowOff>
                  </to>
                </anchor>
              </controlPr>
            </control>
          </mc:Choice>
        </mc:AlternateContent>
        <mc:AlternateContent xmlns:mc="http://schemas.openxmlformats.org/markup-compatibility/2006">
          <mc:Choice Requires="x14">
            <control shapeId="33846" r:id="rId8" name="assemblyDropDown">
              <controlPr defaultSize="0" autoLine="0" autoPict="0" macro="[0]!PROJECT.assemblyDropDownChange">
                <anchor moveWithCells="1">
                  <from>
                    <xdr:col>1</xdr:col>
                    <xdr:colOff>0</xdr:colOff>
                    <xdr:row>4</xdr:row>
                    <xdr:rowOff>176213</xdr:rowOff>
                  </from>
                  <to>
                    <xdr:col>2</xdr:col>
                    <xdr:colOff>14288</xdr:colOff>
                    <xdr:row>6</xdr:row>
                    <xdr:rowOff>0</xdr:rowOff>
                  </to>
                </anchor>
              </controlPr>
            </control>
          </mc:Choice>
        </mc:AlternateContent>
        <mc:AlternateContent xmlns:mc="http://schemas.openxmlformats.org/markup-compatibility/2006">
          <mc:Choice Requires="x14">
            <control shapeId="33857" r:id="rId9" name="drawWeeksSpinner">
              <controlPr defaultSize="0" autoPict="0" macro="[0]!PROJECT.drawWeeksSpinner_Change">
                <anchor moveWithCells="1" sizeWithCells="1">
                  <from>
                    <xdr:col>6</xdr:col>
                    <xdr:colOff>14288</xdr:colOff>
                    <xdr:row>3</xdr:row>
                    <xdr:rowOff>176213</xdr:rowOff>
                  </from>
                  <to>
                    <xdr:col>6</xdr:col>
                    <xdr:colOff>214313</xdr:colOff>
                    <xdr:row>5</xdr:row>
                    <xdr:rowOff>14288</xdr:rowOff>
                  </to>
                </anchor>
              </controlPr>
            </control>
          </mc:Choice>
        </mc:AlternateContent>
        <mc:AlternateContent xmlns:mc="http://schemas.openxmlformats.org/markup-compatibility/2006">
          <mc:Choice Requires="x14">
            <control shapeId="33862" r:id="rId10" name="Group Box 70">
              <controlPr defaultSize="0" autoFill="0" autoPict="0">
                <anchor moveWithCells="1">
                  <from>
                    <xdr:col>4</xdr:col>
                    <xdr:colOff>147638</xdr:colOff>
                    <xdr:row>0</xdr:row>
                    <xdr:rowOff>147638</xdr:rowOff>
                  </from>
                  <to>
                    <xdr:col>8</xdr:col>
                    <xdr:colOff>14288</xdr:colOff>
                    <xdr:row>2</xdr:row>
                    <xdr:rowOff>176213</xdr:rowOff>
                  </to>
                </anchor>
              </controlPr>
            </control>
          </mc:Choice>
        </mc:AlternateContent>
        <mc:AlternateContent xmlns:mc="http://schemas.openxmlformats.org/markup-compatibility/2006">
          <mc:Choice Requires="x14">
            <control shapeId="33863" r:id="rId11" name="Group Box 71">
              <controlPr defaultSize="0" autoFill="0" autoPict="0">
                <anchor moveWithCells="1">
                  <from>
                    <xdr:col>4</xdr:col>
                    <xdr:colOff>128588</xdr:colOff>
                    <xdr:row>3</xdr:row>
                    <xdr:rowOff>100013</xdr:rowOff>
                  </from>
                  <to>
                    <xdr:col>8</xdr:col>
                    <xdr:colOff>0</xdr:colOff>
                    <xdr:row>6</xdr:row>
                    <xdr:rowOff>176213</xdr:rowOff>
                  </to>
                </anchor>
              </controlPr>
            </control>
          </mc:Choice>
        </mc:AlternateContent>
        <mc:AlternateContent xmlns:mc="http://schemas.openxmlformats.org/markup-compatibility/2006">
          <mc:Choice Requires="x14">
            <control shapeId="33864" r:id="rId12" name="Button 72">
              <controlPr defaultSize="0" print="0" autoFill="0" autoPict="0" macro="[0]!PROJECT.drawMaxWeeksSpinner">
                <anchor moveWithCells="1" sizeWithCells="1">
                  <from>
                    <xdr:col>6</xdr:col>
                    <xdr:colOff>261938</xdr:colOff>
                    <xdr:row>4</xdr:row>
                    <xdr:rowOff>0</xdr:rowOff>
                  </from>
                  <to>
                    <xdr:col>6</xdr:col>
                    <xdr:colOff>800100</xdr:colOff>
                    <xdr:row>5</xdr:row>
                    <xdr:rowOff>23813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4C945-89C7-40DE-AE4F-E4885B0155E3}">
  <sheetPr codeName="TeamWS"/>
  <dimension ref="A1:I22"/>
  <sheetViews>
    <sheetView showRowColHeaders="0" workbookViewId="0">
      <selection activeCell="E2" sqref="E2"/>
    </sheetView>
  </sheetViews>
  <sheetFormatPr baseColWidth="10" defaultColWidth="9.1328125" defaultRowHeight="10.15" x14ac:dyDescent="0.3"/>
  <cols>
    <col min="1" max="1" width="3.73046875" style="4" customWidth="1"/>
    <col min="2" max="2" width="23.73046875" style="4" customWidth="1"/>
    <col min="3" max="3" width="5.73046875" style="4" customWidth="1"/>
    <col min="4" max="4" width="12.73046875" style="4" customWidth="1"/>
    <col min="5" max="5" width="24.73046875" style="4" customWidth="1"/>
    <col min="6" max="6" width="27.73046875" style="4" customWidth="1"/>
    <col min="7" max="7" width="6.265625" style="4" customWidth="1"/>
    <col min="8" max="8" width="7.73046875" style="4" customWidth="1"/>
    <col min="9" max="9" width="8.265625" style="4" customWidth="1"/>
    <col min="10" max="10" width="1.73046875" style="4" customWidth="1"/>
    <col min="11" max="16384" width="9.1328125" style="4"/>
  </cols>
  <sheetData>
    <row r="1" spans="1:9" ht="30.4" x14ac:dyDescent="0.3">
      <c r="A1" s="191" t="s">
        <v>357</v>
      </c>
      <c r="B1" s="191" t="s">
        <v>312</v>
      </c>
      <c r="C1" s="191" t="s">
        <v>358</v>
      </c>
      <c r="D1" s="191" t="s">
        <v>359</v>
      </c>
      <c r="E1" s="191" t="s">
        <v>360</v>
      </c>
      <c r="F1" s="191" t="s">
        <v>361</v>
      </c>
      <c r="G1" s="192" t="s">
        <v>362</v>
      </c>
      <c r="H1" s="192" t="s">
        <v>363</v>
      </c>
      <c r="I1" s="192" t="s">
        <v>364</v>
      </c>
    </row>
    <row r="2" spans="1:9" x14ac:dyDescent="0.3">
      <c r="A2" s="193">
        <v>1</v>
      </c>
      <c r="B2" s="156" t="s">
        <v>313</v>
      </c>
      <c r="C2" s="156" t="str" cm="1">
        <f t="array" ref="C2">UPPER(_xlfn.CONCAT(LEFT(_xlfn.TEXTSPLIT(B2, " "), 1)))</f>
        <v>IDP</v>
      </c>
      <c r="D2" s="156">
        <v>3175137055</v>
      </c>
      <c r="E2" s="156" t="s">
        <v>365</v>
      </c>
      <c r="F2" s="156" t="str">
        <f>_xlfn.CONCAT("TSPi_",C2,".xls")</f>
        <v>TSPi_IDP.xls</v>
      </c>
      <c r="G2" s="194"/>
      <c r="H2" s="194"/>
      <c r="I2" s="194"/>
    </row>
    <row r="3" spans="1:9" x14ac:dyDescent="0.3">
      <c r="A3" s="193">
        <v>2</v>
      </c>
      <c r="B3" s="156" t="s">
        <v>366</v>
      </c>
      <c r="C3" s="156" t="str" cm="1">
        <f t="array" ref="C3">UPPER(_xlfn.CONCAT(LEFT(_xlfn.TEXTSPLIT(B3, " "), 1)))</f>
        <v>GCM</v>
      </c>
      <c r="D3" s="157">
        <v>3123029878</v>
      </c>
      <c r="E3" s="156" t="s">
        <v>367</v>
      </c>
      <c r="F3" s="156" t="str">
        <f t="shared" ref="F3:F7" si="0">_xlfn.CONCAT("TSPi_",C3,".xls")</f>
        <v>TSPi_GCM.xls</v>
      </c>
      <c r="G3" s="194"/>
      <c r="H3" s="194"/>
      <c r="I3" s="194"/>
    </row>
    <row r="4" spans="1:9" x14ac:dyDescent="0.3">
      <c r="A4" s="193">
        <v>3</v>
      </c>
      <c r="B4" s="156" t="s">
        <v>368</v>
      </c>
      <c r="C4" s="156" t="str" cm="1">
        <f t="array" ref="C4">UPPER(_xlfn.CONCAT(LEFT(_xlfn.TEXTSPLIT(B4, " "), 1)))</f>
        <v>JCB</v>
      </c>
      <c r="D4" s="156">
        <v>3124530967</v>
      </c>
      <c r="E4" s="156" t="s">
        <v>369</v>
      </c>
      <c r="F4" s="156" t="str">
        <f t="shared" si="0"/>
        <v>TSPi_JCB.xls</v>
      </c>
      <c r="G4" s="194"/>
      <c r="H4" s="194"/>
      <c r="I4" s="194"/>
    </row>
    <row r="5" spans="1:9" x14ac:dyDescent="0.3">
      <c r="A5" s="193">
        <v>4</v>
      </c>
      <c r="B5" s="156" t="s">
        <v>370</v>
      </c>
      <c r="C5" s="156" t="str" cm="1">
        <f t="array" ref="C5">UPPER(_xlfn.CONCAT(LEFT(_xlfn.TEXTSPLIT(B5, " "), 1)))</f>
        <v>MCF</v>
      </c>
      <c r="D5" s="156">
        <v>3102265616</v>
      </c>
      <c r="E5" s="156" t="s">
        <v>371</v>
      </c>
      <c r="F5" s="156" t="str">
        <f t="shared" si="0"/>
        <v>TSPi_MCF.xls</v>
      </c>
      <c r="G5" s="194"/>
      <c r="H5" s="194"/>
      <c r="I5" s="194"/>
    </row>
    <row r="6" spans="1:9" x14ac:dyDescent="0.3">
      <c r="A6" s="193">
        <v>5</v>
      </c>
      <c r="B6" s="156" t="s">
        <v>372</v>
      </c>
      <c r="C6" s="156" t="str" cm="1">
        <f t="array" ref="C6">UPPER(_xlfn.CONCAT(LEFT(_xlfn.TEXTSPLIT(B6, " "), 1)))</f>
        <v>NCI</v>
      </c>
      <c r="D6" s="156">
        <v>3309212384</v>
      </c>
      <c r="E6" s="156" t="s">
        <v>373</v>
      </c>
      <c r="F6" s="156" t="str">
        <f t="shared" si="0"/>
        <v>TSPi_NCI.xls</v>
      </c>
      <c r="G6" s="194"/>
      <c r="H6" s="194"/>
      <c r="I6" s="194"/>
    </row>
    <row r="7" spans="1:9" x14ac:dyDescent="0.3">
      <c r="A7" s="193">
        <v>6</v>
      </c>
      <c r="B7" s="156" t="s">
        <v>374</v>
      </c>
      <c r="C7" s="156" t="str" cm="1">
        <f t="array" ref="C7">UPPER(_xlfn.CONCAT(LEFT(_xlfn.TEXTSPLIT(B7, " "), 1)))</f>
        <v>SCR</v>
      </c>
      <c r="D7" s="156">
        <v>3200098348</v>
      </c>
      <c r="E7" s="156" t="s">
        <v>375</v>
      </c>
      <c r="F7" s="156" t="str">
        <f t="shared" si="0"/>
        <v>TSPi_SCR.xls</v>
      </c>
      <c r="G7" s="194"/>
      <c r="H7" s="194"/>
      <c r="I7" s="194"/>
    </row>
    <row r="8" spans="1:9" hidden="1" x14ac:dyDescent="0.3">
      <c r="A8" s="193">
        <v>7</v>
      </c>
      <c r="B8" s="156"/>
      <c r="C8" s="156"/>
      <c r="D8" s="156"/>
      <c r="E8" s="156"/>
      <c r="F8" s="156" t="str">
        <f t="shared" ref="F8:F21" si="1">_xlfn.CONCAT("TSPi_",C8,"_.xls")</f>
        <v>TSPi__.xls</v>
      </c>
      <c r="G8" s="194"/>
      <c r="H8" s="194"/>
      <c r="I8" s="194"/>
    </row>
    <row r="9" spans="1:9" hidden="1" x14ac:dyDescent="0.3">
      <c r="A9" s="193">
        <v>8</v>
      </c>
      <c r="B9" s="156"/>
      <c r="C9" s="156"/>
      <c r="D9" s="156"/>
      <c r="E9" s="156"/>
      <c r="F9" s="156" t="str">
        <f t="shared" si="1"/>
        <v>TSPi__.xls</v>
      </c>
      <c r="G9" s="194"/>
      <c r="H9" s="194"/>
      <c r="I9" s="194"/>
    </row>
    <row r="10" spans="1:9" hidden="1" x14ac:dyDescent="0.3">
      <c r="A10" s="193">
        <v>9</v>
      </c>
      <c r="B10" s="156"/>
      <c r="C10" s="156"/>
      <c r="D10" s="156"/>
      <c r="E10" s="156"/>
      <c r="F10" s="156" t="str">
        <f t="shared" si="1"/>
        <v>TSPi__.xls</v>
      </c>
      <c r="G10" s="194"/>
      <c r="H10" s="194"/>
      <c r="I10" s="194"/>
    </row>
    <row r="11" spans="1:9" hidden="1" x14ac:dyDescent="0.3">
      <c r="A11" s="193">
        <v>10</v>
      </c>
      <c r="B11" s="156"/>
      <c r="C11" s="156"/>
      <c r="D11" s="156"/>
      <c r="E11" s="156"/>
      <c r="F11" s="156" t="str">
        <f t="shared" si="1"/>
        <v>TSPi__.xls</v>
      </c>
      <c r="G11" s="194"/>
      <c r="H11" s="194"/>
      <c r="I11" s="194"/>
    </row>
    <row r="12" spans="1:9" hidden="1" x14ac:dyDescent="0.3">
      <c r="A12" s="193">
        <v>11</v>
      </c>
      <c r="B12" s="156"/>
      <c r="C12" s="156"/>
      <c r="D12" s="156"/>
      <c r="E12" s="156"/>
      <c r="F12" s="156" t="str">
        <f t="shared" si="1"/>
        <v>TSPi__.xls</v>
      </c>
      <c r="G12" s="194"/>
      <c r="H12" s="194"/>
      <c r="I12" s="194"/>
    </row>
    <row r="13" spans="1:9" hidden="1" x14ac:dyDescent="0.3">
      <c r="A13" s="193">
        <v>12</v>
      </c>
      <c r="B13" s="156"/>
      <c r="C13" s="156"/>
      <c r="D13" s="156"/>
      <c r="E13" s="156"/>
      <c r="F13" s="156" t="str">
        <f t="shared" si="1"/>
        <v>TSPi__.xls</v>
      </c>
      <c r="G13" s="194"/>
      <c r="H13" s="194"/>
      <c r="I13" s="194"/>
    </row>
    <row r="14" spans="1:9" hidden="1" x14ac:dyDescent="0.3">
      <c r="A14" s="193">
        <v>13</v>
      </c>
      <c r="B14" s="156"/>
      <c r="C14" s="156"/>
      <c r="D14" s="156"/>
      <c r="E14" s="156"/>
      <c r="F14" s="156" t="str">
        <f t="shared" si="1"/>
        <v>TSPi__.xls</v>
      </c>
      <c r="G14" s="194"/>
      <c r="H14" s="194"/>
      <c r="I14" s="194"/>
    </row>
    <row r="15" spans="1:9" hidden="1" x14ac:dyDescent="0.3">
      <c r="A15" s="193">
        <v>14</v>
      </c>
      <c r="B15" s="156"/>
      <c r="C15" s="156"/>
      <c r="D15" s="156"/>
      <c r="E15" s="156"/>
      <c r="F15" s="156" t="str">
        <f t="shared" si="1"/>
        <v>TSPi__.xls</v>
      </c>
      <c r="G15" s="194"/>
      <c r="H15" s="194"/>
      <c r="I15" s="194"/>
    </row>
    <row r="16" spans="1:9" hidden="1" x14ac:dyDescent="0.3">
      <c r="A16" s="193">
        <v>15</v>
      </c>
      <c r="B16" s="156"/>
      <c r="C16" s="156"/>
      <c r="D16" s="156"/>
      <c r="E16" s="156"/>
      <c r="F16" s="156" t="str">
        <f t="shared" si="1"/>
        <v>TSPi__.xls</v>
      </c>
      <c r="G16" s="194"/>
      <c r="H16" s="194"/>
      <c r="I16" s="194"/>
    </row>
    <row r="17" spans="1:9" hidden="1" x14ac:dyDescent="0.3">
      <c r="A17" s="193">
        <v>16</v>
      </c>
      <c r="B17" s="156"/>
      <c r="C17" s="156"/>
      <c r="D17" s="156"/>
      <c r="E17" s="156"/>
      <c r="F17" s="156" t="str">
        <f t="shared" si="1"/>
        <v>TSPi__.xls</v>
      </c>
      <c r="G17" s="194"/>
      <c r="H17" s="194"/>
      <c r="I17" s="194"/>
    </row>
    <row r="18" spans="1:9" hidden="1" x14ac:dyDescent="0.3">
      <c r="A18" s="193">
        <v>17</v>
      </c>
      <c r="B18" s="156"/>
      <c r="C18" s="156"/>
      <c r="D18" s="156"/>
      <c r="E18" s="156"/>
      <c r="F18" s="156" t="str">
        <f t="shared" si="1"/>
        <v>TSPi__.xls</v>
      </c>
      <c r="G18" s="194"/>
      <c r="H18" s="194"/>
      <c r="I18" s="194"/>
    </row>
    <row r="19" spans="1:9" hidden="1" x14ac:dyDescent="0.3">
      <c r="A19" s="193">
        <v>18</v>
      </c>
      <c r="B19" s="156"/>
      <c r="C19" s="156"/>
      <c r="D19" s="156"/>
      <c r="E19" s="156"/>
      <c r="F19" s="156" t="str">
        <f t="shared" si="1"/>
        <v>TSPi__.xls</v>
      </c>
      <c r="G19" s="194"/>
      <c r="H19" s="194"/>
      <c r="I19" s="194"/>
    </row>
    <row r="20" spans="1:9" hidden="1" x14ac:dyDescent="0.3">
      <c r="A20" s="193">
        <v>19</v>
      </c>
      <c r="B20" s="156"/>
      <c r="C20" s="156"/>
      <c r="D20" s="156"/>
      <c r="E20" s="156"/>
      <c r="F20" s="156" t="str">
        <f t="shared" si="1"/>
        <v>TSPi__.xls</v>
      </c>
      <c r="G20" s="194"/>
      <c r="H20" s="194"/>
      <c r="I20" s="194"/>
    </row>
    <row r="21" spans="1:9" hidden="1" x14ac:dyDescent="0.3">
      <c r="A21" s="193">
        <v>20</v>
      </c>
      <c r="B21" s="156"/>
      <c r="C21" s="156"/>
      <c r="D21" s="156"/>
      <c r="E21" s="156"/>
      <c r="F21" s="156" t="str">
        <f t="shared" si="1"/>
        <v>TSPi__.xls</v>
      </c>
      <c r="G21" s="194"/>
      <c r="H21" s="194"/>
      <c r="I21" s="194"/>
    </row>
    <row r="22" spans="1:9" x14ac:dyDescent="0.3">
      <c r="A22" s="164"/>
      <c r="B22" s="164"/>
      <c r="C22" s="164"/>
      <c r="D22" s="164"/>
      <c r="E22" s="164"/>
      <c r="F22" s="164"/>
      <c r="G22" s="194">
        <f>SUM(G2:G21)</f>
        <v>0</v>
      </c>
      <c r="H22" s="194">
        <f>SUM(H2:H21)</f>
        <v>0</v>
      </c>
      <c r="I22" s="194">
        <f>MAX(I2:I21)</f>
        <v>0</v>
      </c>
    </row>
  </sheetData>
  <sheetProtection sheet="1" objects="1" scenarios="1"/>
  <phoneticPr fontId="2" type="noConversion"/>
  <dataValidations count="5">
    <dataValidation allowBlank="1" showInputMessage="1" showErrorMessage="1" promptTitle="Team Member Name" prompt="Enter the team member's name." sqref="B1" xr:uid="{C708DE34-46A0-4ED9-AA22-8A95294216AE}"/>
    <dataValidation allowBlank="1" showInputMessage="1" showErrorMessage="1" promptTitle="Team Member Initials" prompt="Enter the team member's initials. Team member initials are required. They are used as a team member ID and must be unique within a team." sqref="C1" xr:uid="{D736EF5E-DCB4-4507-B778-08F835839B7D}"/>
    <dataValidation allowBlank="1" showInputMessage="1" showErrorMessage="1" promptTitle="Team Member Phone" prompt="Enter the team member's phone number." sqref="D1" xr:uid="{876F79C6-2313-4686-A8BD-B63BC83C2FBC}"/>
    <dataValidation allowBlank="1" showInputMessage="1" showErrorMessage="1" promptTitle="Team Member e-mail" prompt="Enter the team member's e-mail address." sqref="E1" xr:uid="{3332893A-E6BC-4D96-8FF3-63DFB9906A3A}"/>
    <dataValidation allowBlank="1" showInputMessage="1" showErrorMessage="1" promptTitle="Team Member Workbook Filename" prompt="Enter the filename of the team member's workbook. The filename is required, and is used when consolidating team plans, and for creating workbooks for team members." sqref="F1" xr:uid="{8262A7BB-7446-444A-9341-D214DEFCE522}"/>
  </dataValidations>
  <printOptions gridLines="1"/>
  <pageMargins left="0.75" right="0.75" top="1" bottom="1" header="0.5" footer="0.5"/>
  <pageSetup orientation="landscape"/>
  <headerFooter alignWithMargins="0">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6874" r:id="rId3" name="Button 10">
              <controlPr defaultSize="0" print="0" autoFill="0" autoPict="0" macro="[0]!TeamWS.copyTeamWorkbooks">
                <anchor moveWithCells="1" sizeWithCells="1">
                  <from>
                    <xdr:col>1</xdr:col>
                    <xdr:colOff>109538</xdr:colOff>
                    <xdr:row>26</xdr:row>
                    <xdr:rowOff>57150</xdr:rowOff>
                  </from>
                  <to>
                    <xdr:col>2</xdr:col>
                    <xdr:colOff>0</xdr:colOff>
                    <xdr:row>30</xdr:row>
                    <xdr:rowOff>109538</xdr:rowOff>
                  </to>
                </anchor>
              </controlPr>
            </control>
          </mc:Choice>
        </mc:AlternateContent>
        <mc:AlternateContent xmlns:mc="http://schemas.openxmlformats.org/markup-compatibility/2006">
          <mc:Choice Requires="x14">
            <control shapeId="36878" r:id="rId4" name="ConsolidationMode">
              <controlPr defaultSize="0" autoFill="0" autoLine="0" autoPict="0" macro="[0]!TeamWS.consolidationModeChange">
                <anchor moveWithCells="1">
                  <from>
                    <xdr:col>1</xdr:col>
                    <xdr:colOff>109538</xdr:colOff>
                    <xdr:row>23</xdr:row>
                    <xdr:rowOff>52388</xdr:rowOff>
                  </from>
                  <to>
                    <xdr:col>2</xdr:col>
                    <xdr:colOff>33338</xdr:colOff>
                    <xdr:row>24</xdr:row>
                    <xdr:rowOff>119063</xdr:rowOff>
                  </to>
                </anchor>
              </controlPr>
            </control>
          </mc:Choice>
        </mc:AlternateContent>
        <mc:AlternateContent xmlns:mc="http://schemas.openxmlformats.org/markup-compatibility/2006">
          <mc:Choice Requires="x14">
            <control shapeId="36866" r:id="rId5" name="Button 2">
              <controlPr defaultSize="0" print="0" autoFill="0" autoPict="0" macro="[0]!TeamWS.consolidatePlans">
                <anchor moveWithCells="1" sizeWithCells="1">
                  <from>
                    <xdr:col>1</xdr:col>
                    <xdr:colOff>109538</xdr:colOff>
                    <xdr:row>23</xdr:row>
                    <xdr:rowOff>52388</xdr:rowOff>
                  </from>
                  <to>
                    <xdr:col>2</xdr:col>
                    <xdr:colOff>0</xdr:colOff>
                    <xdr:row>26</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51045-8570-4ECE-9008-50378E2D997E}">
  <sheetPr codeName="GOALS"/>
  <dimension ref="A1:H54"/>
  <sheetViews>
    <sheetView zoomScaleNormal="100" workbookViewId="0">
      <pane ySplit="2" topLeftCell="A3" activePane="bottomLeft" state="frozenSplit"/>
      <selection pane="bottomLeft" activeCell="B16" sqref="B16"/>
    </sheetView>
  </sheetViews>
  <sheetFormatPr baseColWidth="10" defaultColWidth="9.1328125" defaultRowHeight="10.15" x14ac:dyDescent="0.3"/>
  <cols>
    <col min="1" max="1" width="16.73046875" style="46" customWidth="1"/>
    <col min="2" max="2" width="45.73046875" style="46" customWidth="1"/>
    <col min="3" max="4" width="18.73046875" style="46" customWidth="1"/>
    <col min="5" max="5" width="6.73046875" style="46" customWidth="1"/>
    <col min="6" max="6" width="9.73046875" style="46" customWidth="1"/>
    <col min="7" max="7" width="5.73046875" style="4" customWidth="1"/>
    <col min="8" max="8" width="7.265625" style="4" customWidth="1"/>
    <col min="9" max="9" width="9.1328125" style="4"/>
    <col min="10" max="10" width="31.3984375" style="4" customWidth="1"/>
    <col min="11" max="16384" width="9.1328125" style="4"/>
  </cols>
  <sheetData>
    <row r="1" spans="1:8" x14ac:dyDescent="0.3">
      <c r="A1" s="195"/>
      <c r="B1" s="196"/>
      <c r="C1" s="347" t="s">
        <v>376</v>
      </c>
      <c r="D1" s="348"/>
      <c r="E1" s="349" t="s">
        <v>377</v>
      </c>
      <c r="F1" s="348"/>
      <c r="G1" s="164"/>
      <c r="H1" s="164"/>
    </row>
    <row r="2" spans="1:8" x14ac:dyDescent="0.3">
      <c r="A2" s="198" t="s">
        <v>378</v>
      </c>
      <c r="B2" s="199" t="s">
        <v>207</v>
      </c>
      <c r="C2" s="197" t="s">
        <v>207</v>
      </c>
      <c r="D2" s="192" t="s">
        <v>307</v>
      </c>
      <c r="E2" s="192" t="s">
        <v>379</v>
      </c>
      <c r="F2" s="192" t="s">
        <v>380</v>
      </c>
      <c r="G2" s="162"/>
      <c r="H2" s="164"/>
    </row>
    <row r="3" spans="1:8" ht="50.65" x14ac:dyDescent="0.3">
      <c r="A3" s="158" t="s">
        <v>381</v>
      </c>
      <c r="B3" s="158" t="s">
        <v>382</v>
      </c>
      <c r="C3" s="158" t="s">
        <v>383</v>
      </c>
      <c r="D3" s="158"/>
      <c r="E3" s="158" t="s">
        <v>384</v>
      </c>
      <c r="F3" s="158" t="s">
        <v>385</v>
      </c>
      <c r="G3" s="164"/>
      <c r="H3" s="164"/>
    </row>
    <row r="4" spans="1:8" ht="30.4" x14ac:dyDescent="0.3">
      <c r="A4" s="158" t="s">
        <v>386</v>
      </c>
      <c r="B4" s="158" t="s">
        <v>387</v>
      </c>
      <c r="C4" s="158" t="s">
        <v>388</v>
      </c>
      <c r="D4" s="158"/>
      <c r="E4" s="158" t="s">
        <v>389</v>
      </c>
      <c r="F4" s="158" t="s">
        <v>390</v>
      </c>
      <c r="G4" s="164"/>
      <c r="H4" s="164"/>
    </row>
    <row r="5" spans="1:8" ht="40.5" x14ac:dyDescent="0.3">
      <c r="A5" s="158" t="s">
        <v>391</v>
      </c>
      <c r="B5" s="158" t="s">
        <v>392</v>
      </c>
      <c r="C5" s="158" t="s">
        <v>393</v>
      </c>
      <c r="D5" s="158"/>
      <c r="E5" s="158" t="s">
        <v>394</v>
      </c>
      <c r="F5" s="158" t="s">
        <v>395</v>
      </c>
      <c r="G5" s="164"/>
      <c r="H5" s="164"/>
    </row>
    <row r="6" spans="1:8" ht="30.4" x14ac:dyDescent="0.3">
      <c r="A6" s="158" t="s">
        <v>396</v>
      </c>
      <c r="B6" s="158" t="s">
        <v>397</v>
      </c>
      <c r="C6" s="158" t="s">
        <v>398</v>
      </c>
      <c r="D6" s="158"/>
      <c r="E6" s="158" t="s">
        <v>399</v>
      </c>
      <c r="F6" s="158" t="s">
        <v>400</v>
      </c>
      <c r="G6" s="164"/>
      <c r="H6" s="164"/>
    </row>
    <row r="7" spans="1:8" ht="40.5" x14ac:dyDescent="0.3">
      <c r="A7" s="158" t="s">
        <v>401</v>
      </c>
      <c r="B7" s="158" t="s">
        <v>402</v>
      </c>
      <c r="C7" s="158" t="s">
        <v>403</v>
      </c>
      <c r="D7" s="158"/>
      <c r="E7" s="158" t="s">
        <v>394</v>
      </c>
      <c r="F7" s="158" t="s">
        <v>385</v>
      </c>
      <c r="G7" s="164"/>
      <c r="H7" s="164"/>
    </row>
    <row r="8" spans="1:8" ht="60.75" x14ac:dyDescent="0.3">
      <c r="A8" s="158" t="s">
        <v>322</v>
      </c>
      <c r="B8" s="158" t="s">
        <v>404</v>
      </c>
      <c r="C8" s="158" t="s">
        <v>405</v>
      </c>
      <c r="D8" s="158"/>
      <c r="E8" s="158" t="s">
        <v>406</v>
      </c>
      <c r="F8" s="158" t="s">
        <v>407</v>
      </c>
      <c r="G8" s="164"/>
      <c r="H8" s="164"/>
    </row>
    <row r="9" spans="1:8" x14ac:dyDescent="0.3">
      <c r="A9" s="158"/>
      <c r="B9" s="158"/>
      <c r="C9" s="158"/>
      <c r="D9" s="158"/>
      <c r="E9" s="158"/>
      <c r="F9" s="158"/>
      <c r="G9" s="164"/>
      <c r="H9" s="164"/>
    </row>
    <row r="10" spans="1:8" x14ac:dyDescent="0.3">
      <c r="A10" s="158"/>
      <c r="B10" s="158"/>
      <c r="C10" s="158"/>
      <c r="D10" s="158"/>
      <c r="E10" s="158"/>
      <c r="F10" s="158"/>
      <c r="G10" s="164"/>
      <c r="H10" s="164"/>
    </row>
    <row r="11" spans="1:8" x14ac:dyDescent="0.3">
      <c r="A11" s="158"/>
      <c r="B11" s="158"/>
      <c r="C11" s="158"/>
      <c r="D11" s="158"/>
      <c r="E11" s="158"/>
      <c r="F11" s="158"/>
      <c r="G11" s="164"/>
      <c r="H11" s="164"/>
    </row>
    <row r="12" spans="1:8" x14ac:dyDescent="0.3">
      <c r="A12" s="158"/>
      <c r="B12" s="158"/>
      <c r="C12" s="158"/>
      <c r="D12" s="158"/>
      <c r="E12" s="158"/>
      <c r="F12" s="158"/>
      <c r="G12" s="164"/>
      <c r="H12" s="164"/>
    </row>
    <row r="13" spans="1:8" x14ac:dyDescent="0.3">
      <c r="A13" s="158"/>
      <c r="B13" s="158"/>
      <c r="C13" s="158"/>
      <c r="D13" s="158"/>
      <c r="E13" s="158"/>
      <c r="F13" s="158"/>
      <c r="G13" s="164"/>
      <c r="H13" s="164"/>
    </row>
    <row r="14" spans="1:8" x14ac:dyDescent="0.3">
      <c r="A14" s="158"/>
      <c r="B14" s="158"/>
      <c r="C14" s="158"/>
      <c r="D14" s="158"/>
      <c r="E14" s="158"/>
      <c r="F14" s="158"/>
      <c r="G14" s="164"/>
      <c r="H14" s="164"/>
    </row>
    <row r="15" spans="1:8" x14ac:dyDescent="0.3">
      <c r="A15" s="158"/>
      <c r="B15" s="158"/>
      <c r="C15" s="158"/>
      <c r="D15" s="158"/>
      <c r="E15" s="158"/>
      <c r="F15" s="158"/>
      <c r="G15" s="164"/>
      <c r="H15" s="164"/>
    </row>
    <row r="16" spans="1:8" x14ac:dyDescent="0.3">
      <c r="A16" s="158"/>
      <c r="B16" s="158"/>
      <c r="C16" s="158"/>
      <c r="D16" s="158"/>
      <c r="E16" s="158"/>
      <c r="F16" s="158"/>
      <c r="G16" s="164"/>
      <c r="H16" s="164"/>
    </row>
    <row r="17" spans="1:6" x14ac:dyDescent="0.3">
      <c r="A17" s="158"/>
      <c r="B17" s="158"/>
      <c r="C17" s="158"/>
      <c r="D17" s="158"/>
      <c r="E17" s="158"/>
      <c r="F17" s="158"/>
    </row>
    <row r="18" spans="1:6" x14ac:dyDescent="0.3">
      <c r="A18" s="158"/>
      <c r="B18" s="158"/>
      <c r="C18" s="158"/>
      <c r="D18" s="158"/>
      <c r="E18" s="158"/>
      <c r="F18" s="158"/>
    </row>
    <row r="19" spans="1:6" x14ac:dyDescent="0.3">
      <c r="A19" s="158"/>
      <c r="B19" s="158"/>
      <c r="C19" s="158"/>
      <c r="D19" s="158"/>
      <c r="E19" s="158"/>
      <c r="F19" s="158"/>
    </row>
    <row r="20" spans="1:6" x14ac:dyDescent="0.3">
      <c r="A20" s="158"/>
      <c r="B20" s="158"/>
      <c r="C20" s="158"/>
      <c r="D20" s="158"/>
      <c r="E20" s="158"/>
      <c r="F20" s="158"/>
    </row>
    <row r="21" spans="1:6" x14ac:dyDescent="0.3">
      <c r="A21" s="158"/>
      <c r="B21" s="158"/>
      <c r="C21" s="158"/>
      <c r="D21" s="158"/>
      <c r="E21" s="158"/>
      <c r="F21" s="158"/>
    </row>
    <row r="22" spans="1:6" x14ac:dyDescent="0.3">
      <c r="A22" s="158"/>
      <c r="B22" s="158"/>
      <c r="C22" s="158"/>
      <c r="D22" s="158"/>
      <c r="E22" s="158"/>
      <c r="F22" s="158"/>
    </row>
    <row r="23" spans="1:6" x14ac:dyDescent="0.3">
      <c r="A23" s="158"/>
      <c r="B23" s="158"/>
      <c r="C23" s="158"/>
      <c r="D23" s="158"/>
      <c r="E23" s="158"/>
      <c r="F23" s="158"/>
    </row>
    <row r="24" spans="1:6" x14ac:dyDescent="0.3">
      <c r="A24" s="158"/>
      <c r="B24" s="158"/>
      <c r="C24" s="158"/>
      <c r="D24" s="158"/>
      <c r="E24" s="158"/>
      <c r="F24" s="158"/>
    </row>
    <row r="25" spans="1:6" x14ac:dyDescent="0.3">
      <c r="A25" s="158"/>
      <c r="B25" s="158"/>
      <c r="C25" s="158"/>
      <c r="D25" s="158"/>
      <c r="E25" s="158"/>
      <c r="F25" s="158"/>
    </row>
    <row r="26" spans="1:6" x14ac:dyDescent="0.3">
      <c r="A26" s="158"/>
      <c r="B26" s="158"/>
      <c r="C26" s="158"/>
      <c r="D26" s="158"/>
      <c r="E26" s="158"/>
      <c r="F26" s="158"/>
    </row>
    <row r="27" spans="1:6" x14ac:dyDescent="0.3">
      <c r="A27" s="158"/>
      <c r="B27" s="158"/>
      <c r="C27" s="158"/>
      <c r="D27" s="158"/>
      <c r="E27" s="158"/>
      <c r="F27" s="158"/>
    </row>
    <row r="28" spans="1:6" x14ac:dyDescent="0.3">
      <c r="A28" s="158"/>
      <c r="B28" s="158"/>
      <c r="C28" s="158"/>
      <c r="D28" s="158"/>
      <c r="E28" s="158"/>
      <c r="F28" s="158"/>
    </row>
    <row r="29" spans="1:6" x14ac:dyDescent="0.3">
      <c r="A29" s="158"/>
      <c r="B29" s="158"/>
      <c r="C29" s="158"/>
      <c r="D29" s="158"/>
      <c r="E29" s="158"/>
      <c r="F29" s="158"/>
    </row>
    <row r="30" spans="1:6" x14ac:dyDescent="0.3">
      <c r="A30" s="158"/>
      <c r="B30" s="158"/>
      <c r="C30" s="158"/>
      <c r="D30" s="158"/>
      <c r="E30" s="158"/>
      <c r="F30" s="158"/>
    </row>
    <row r="31" spans="1:6" x14ac:dyDescent="0.3">
      <c r="A31" s="158"/>
      <c r="B31" s="158"/>
      <c r="C31" s="158"/>
      <c r="D31" s="158"/>
      <c r="E31" s="158"/>
      <c r="F31" s="158"/>
    </row>
    <row r="32" spans="1:6" x14ac:dyDescent="0.3">
      <c r="A32" s="158"/>
      <c r="B32" s="158"/>
      <c r="C32" s="158"/>
      <c r="D32" s="158"/>
      <c r="E32" s="158"/>
      <c r="F32" s="158"/>
    </row>
    <row r="33" spans="1:6" x14ac:dyDescent="0.3">
      <c r="A33" s="158"/>
      <c r="B33" s="158"/>
      <c r="C33" s="158"/>
      <c r="D33" s="158"/>
      <c r="E33" s="158"/>
      <c r="F33" s="158"/>
    </row>
    <row r="34" spans="1:6" x14ac:dyDescent="0.3">
      <c r="A34" s="158"/>
      <c r="B34" s="158"/>
      <c r="C34" s="158"/>
      <c r="D34" s="158"/>
      <c r="E34" s="158"/>
      <c r="F34" s="158"/>
    </row>
    <row r="35" spans="1:6" x14ac:dyDescent="0.3">
      <c r="A35" s="158"/>
      <c r="B35" s="158"/>
      <c r="C35" s="158"/>
      <c r="D35" s="158"/>
      <c r="E35" s="158"/>
      <c r="F35" s="158"/>
    </row>
    <row r="36" spans="1:6" x14ac:dyDescent="0.3">
      <c r="A36" s="158"/>
      <c r="B36" s="158"/>
      <c r="C36" s="158"/>
      <c r="D36" s="158"/>
      <c r="E36" s="158"/>
      <c r="F36" s="158"/>
    </row>
    <row r="37" spans="1:6" x14ac:dyDescent="0.3">
      <c r="A37" s="158"/>
      <c r="B37" s="158"/>
      <c r="C37" s="158"/>
      <c r="D37" s="158"/>
      <c r="E37" s="158"/>
      <c r="F37" s="158"/>
    </row>
    <row r="38" spans="1:6" x14ac:dyDescent="0.3">
      <c r="A38" s="158"/>
      <c r="B38" s="158"/>
      <c r="C38" s="158"/>
      <c r="D38" s="158"/>
      <c r="E38" s="158"/>
      <c r="F38" s="158"/>
    </row>
    <row r="39" spans="1:6" x14ac:dyDescent="0.3">
      <c r="A39" s="158"/>
      <c r="B39" s="158"/>
      <c r="C39" s="158"/>
      <c r="D39" s="158"/>
      <c r="E39" s="158"/>
      <c r="F39" s="158"/>
    </row>
    <row r="40" spans="1:6" x14ac:dyDescent="0.3">
      <c r="A40" s="158"/>
      <c r="B40" s="158"/>
      <c r="C40" s="158"/>
      <c r="D40" s="158"/>
      <c r="E40" s="158"/>
      <c r="F40" s="158"/>
    </row>
    <row r="41" spans="1:6" x14ac:dyDescent="0.3">
      <c r="A41" s="158"/>
      <c r="B41" s="158"/>
      <c r="C41" s="158"/>
      <c r="D41" s="158"/>
      <c r="E41" s="158"/>
      <c r="F41" s="158"/>
    </row>
    <row r="42" spans="1:6" x14ac:dyDescent="0.3">
      <c r="A42" s="158"/>
      <c r="B42" s="158"/>
      <c r="C42" s="158"/>
      <c r="D42" s="158"/>
      <c r="E42" s="158"/>
      <c r="F42" s="158"/>
    </row>
    <row r="43" spans="1:6" x14ac:dyDescent="0.3">
      <c r="A43" s="158"/>
      <c r="B43" s="158"/>
      <c r="C43" s="158"/>
      <c r="D43" s="158"/>
      <c r="E43" s="158"/>
      <c r="F43" s="158"/>
    </row>
    <row r="44" spans="1:6" x14ac:dyDescent="0.3">
      <c r="A44" s="158"/>
      <c r="B44" s="158"/>
      <c r="C44" s="158"/>
      <c r="D44" s="158"/>
      <c r="E44" s="158"/>
      <c r="F44" s="158"/>
    </row>
    <row r="45" spans="1:6" x14ac:dyDescent="0.3">
      <c r="A45" s="158"/>
      <c r="B45" s="158"/>
      <c r="C45" s="158"/>
      <c r="D45" s="158"/>
      <c r="E45" s="158"/>
      <c r="F45" s="158"/>
    </row>
    <row r="46" spans="1:6" x14ac:dyDescent="0.3">
      <c r="A46" s="158"/>
      <c r="B46" s="158"/>
      <c r="C46" s="158"/>
      <c r="D46" s="158"/>
      <c r="E46" s="158"/>
      <c r="F46" s="158"/>
    </row>
    <row r="47" spans="1:6" x14ac:dyDescent="0.3">
      <c r="A47" s="158"/>
      <c r="B47" s="158"/>
      <c r="C47" s="158"/>
      <c r="D47" s="158"/>
      <c r="E47" s="158"/>
      <c r="F47" s="158"/>
    </row>
    <row r="48" spans="1:6" x14ac:dyDescent="0.3">
      <c r="A48" s="158"/>
      <c r="B48" s="158"/>
      <c r="C48" s="158"/>
      <c r="D48" s="158"/>
      <c r="E48" s="158"/>
      <c r="F48" s="158"/>
    </row>
    <row r="49" spans="1:6" x14ac:dyDescent="0.3">
      <c r="A49" s="158"/>
      <c r="B49" s="158"/>
      <c r="C49" s="158"/>
      <c r="D49" s="158"/>
      <c r="E49" s="158"/>
      <c r="F49" s="158"/>
    </row>
    <row r="50" spans="1:6" x14ac:dyDescent="0.3">
      <c r="A50" s="158"/>
      <c r="B50" s="158"/>
      <c r="C50" s="158"/>
      <c r="D50" s="158"/>
      <c r="E50" s="158"/>
      <c r="F50" s="158"/>
    </row>
    <row r="51" spans="1:6" x14ac:dyDescent="0.3">
      <c r="A51" s="158"/>
      <c r="B51" s="158"/>
      <c r="C51" s="158"/>
      <c r="D51" s="158"/>
      <c r="E51" s="158"/>
      <c r="F51" s="158"/>
    </row>
    <row r="52" spans="1:6" x14ac:dyDescent="0.3">
      <c r="A52" s="158"/>
      <c r="B52" s="158"/>
      <c r="C52" s="158"/>
      <c r="D52" s="158"/>
      <c r="E52" s="158"/>
      <c r="F52" s="158"/>
    </row>
    <row r="53" spans="1:6" x14ac:dyDescent="0.3">
      <c r="A53" s="158"/>
      <c r="B53" s="158"/>
      <c r="C53" s="158"/>
      <c r="D53" s="158"/>
      <c r="E53" s="158"/>
      <c r="F53" s="158"/>
    </row>
    <row r="54" spans="1:6" x14ac:dyDescent="0.3">
      <c r="A54" s="158"/>
      <c r="B54" s="158"/>
      <c r="C54" s="158"/>
      <c r="D54" s="158"/>
      <c r="E54" s="158"/>
      <c r="F54" s="158"/>
    </row>
  </sheetData>
  <sheetProtection sheet="1" objects="1" scenarios="1"/>
  <mergeCells count="2">
    <mergeCell ref="C1:D1"/>
    <mergeCell ref="E1:F1"/>
  </mergeCells>
  <phoneticPr fontId="2" type="noConversion"/>
  <pageMargins left="0.75" right="0.75" top="1" bottom="1" header="0.5" footer="0.5"/>
  <pageSetup orientation="landscape"/>
  <headerFooter alignWithMargins="0">
    <oddFooter>&amp;L File: &amp;F ! &amp;A&amp;R&amp;D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A63C9-92AE-4357-AF7A-0B491120D3D0}">
  <sheetPr codeName="ROLES"/>
  <dimension ref="A1:E42"/>
  <sheetViews>
    <sheetView showRowColHeaders="0" zoomScaleNormal="100" workbookViewId="0">
      <selection activeCell="A4" sqref="A4"/>
    </sheetView>
  </sheetViews>
  <sheetFormatPr baseColWidth="10" defaultColWidth="9.1328125" defaultRowHeight="10.15" x14ac:dyDescent="0.3"/>
  <cols>
    <col min="1" max="1" width="26.73046875" style="4" customWidth="1"/>
    <col min="2" max="2" width="14.73046875" style="4" customWidth="1"/>
    <col min="3" max="5" width="14.73046875" style="4" hidden="1" customWidth="1"/>
    <col min="6" max="6" width="0" style="4" hidden="1" customWidth="1"/>
    <col min="7" max="16384" width="9.1328125" style="4"/>
  </cols>
  <sheetData>
    <row r="1" spans="1:5" ht="27" customHeight="1" thickBot="1" x14ac:dyDescent="0.35">
      <c r="A1" s="200" t="s">
        <v>408</v>
      </c>
      <c r="B1" s="201"/>
      <c r="C1" s="202" t="s">
        <v>409</v>
      </c>
      <c r="D1" s="202" t="s">
        <v>410</v>
      </c>
      <c r="E1" s="202" t="s">
        <v>411</v>
      </c>
    </row>
    <row r="2" spans="1:5" ht="15" customHeight="1" thickBot="1" x14ac:dyDescent="0.35">
      <c r="A2" s="203" t="s">
        <v>71</v>
      </c>
      <c r="B2" s="204" t="s">
        <v>412</v>
      </c>
      <c r="C2" s="205"/>
      <c r="D2" s="205"/>
      <c r="E2" s="205"/>
    </row>
    <row r="3" spans="1:5" ht="15" customHeight="1" thickBot="1" x14ac:dyDescent="0.35">
      <c r="A3" s="206"/>
      <c r="B3" s="204"/>
      <c r="C3" s="204"/>
      <c r="D3" s="204"/>
      <c r="E3" s="204"/>
    </row>
    <row r="4" spans="1:5" ht="15" customHeight="1" x14ac:dyDescent="0.3">
      <c r="A4" s="203" t="s">
        <v>413</v>
      </c>
      <c r="B4" s="205" t="s">
        <v>414</v>
      </c>
      <c r="C4" s="205"/>
      <c r="D4" s="205"/>
      <c r="E4" s="205"/>
    </row>
    <row r="5" spans="1:5" ht="15" customHeight="1" thickBot="1" x14ac:dyDescent="0.35">
      <c r="A5" s="206"/>
      <c r="B5" s="204" t="s">
        <v>415</v>
      </c>
      <c r="C5" s="204"/>
      <c r="D5" s="204"/>
      <c r="E5" s="204"/>
    </row>
    <row r="6" spans="1:5" ht="15" customHeight="1" x14ac:dyDescent="0.3">
      <c r="A6" s="203" t="s">
        <v>79</v>
      </c>
      <c r="B6" s="205" t="s">
        <v>416</v>
      </c>
      <c r="C6" s="205"/>
      <c r="D6" s="205"/>
      <c r="E6" s="205"/>
    </row>
    <row r="7" spans="1:5" ht="15" customHeight="1" thickBot="1" x14ac:dyDescent="0.35">
      <c r="A7" s="206"/>
      <c r="B7" s="204"/>
      <c r="C7" s="204"/>
      <c r="D7" s="204"/>
      <c r="E7" s="204"/>
    </row>
    <row r="8" spans="1:5" ht="15" customHeight="1" x14ac:dyDescent="0.3">
      <c r="A8" s="203" t="s">
        <v>95</v>
      </c>
      <c r="B8" s="205" t="s">
        <v>417</v>
      </c>
      <c r="C8" s="205"/>
      <c r="D8" s="205"/>
      <c r="E8" s="205"/>
    </row>
    <row r="9" spans="1:5" ht="15" customHeight="1" thickBot="1" x14ac:dyDescent="0.35">
      <c r="A9" s="206"/>
      <c r="B9" s="204"/>
      <c r="C9" s="204"/>
      <c r="D9" s="204"/>
      <c r="E9" s="204"/>
    </row>
    <row r="10" spans="1:5" ht="15" customHeight="1" x14ac:dyDescent="0.3">
      <c r="A10" s="203" t="s">
        <v>418</v>
      </c>
      <c r="B10" s="205" t="s">
        <v>419</v>
      </c>
      <c r="C10" s="205"/>
      <c r="D10" s="205"/>
      <c r="E10" s="205"/>
    </row>
    <row r="11" spans="1:5" ht="15" customHeight="1" thickBot="1" x14ac:dyDescent="0.35">
      <c r="A11" s="206"/>
      <c r="B11" s="204"/>
      <c r="C11" s="204"/>
      <c r="D11" s="204"/>
      <c r="E11" s="204"/>
    </row>
    <row r="12" spans="1:5" ht="15" hidden="1" customHeight="1" x14ac:dyDescent="0.3">
      <c r="A12" s="203" t="s">
        <v>420</v>
      </c>
      <c r="B12" s="205"/>
      <c r="C12" s="205"/>
      <c r="D12" s="205"/>
      <c r="E12" s="205"/>
    </row>
    <row r="13" spans="1:5" ht="15" hidden="1" customHeight="1" thickBot="1" x14ac:dyDescent="0.35">
      <c r="A13" s="206"/>
      <c r="B13" s="204"/>
      <c r="C13" s="204"/>
      <c r="D13" s="204"/>
      <c r="E13" s="204"/>
    </row>
    <row r="14" spans="1:5" ht="15" hidden="1" customHeight="1" x14ac:dyDescent="0.3">
      <c r="A14" s="203" t="s">
        <v>421</v>
      </c>
      <c r="B14" s="205"/>
      <c r="C14" s="205"/>
      <c r="D14" s="205"/>
      <c r="E14" s="205"/>
    </row>
    <row r="15" spans="1:5" ht="15" hidden="1" customHeight="1" thickBot="1" x14ac:dyDescent="0.35">
      <c r="A15" s="206"/>
      <c r="B15" s="204"/>
      <c r="C15" s="204"/>
      <c r="D15" s="204"/>
      <c r="E15" s="204"/>
    </row>
    <row r="16" spans="1:5" ht="15" hidden="1" customHeight="1" x14ac:dyDescent="0.3">
      <c r="A16" s="203" t="s">
        <v>418</v>
      </c>
      <c r="B16" s="205"/>
      <c r="C16" s="205"/>
      <c r="D16" s="205"/>
      <c r="E16" s="205"/>
    </row>
    <row r="17" spans="1:5" ht="15" hidden="1" customHeight="1" thickBot="1" x14ac:dyDescent="0.35">
      <c r="A17" s="206"/>
      <c r="B17" s="204"/>
      <c r="C17" s="204"/>
      <c r="D17" s="204"/>
      <c r="E17" s="204"/>
    </row>
    <row r="18" spans="1:5" ht="15" hidden="1" customHeight="1" x14ac:dyDescent="0.3">
      <c r="A18" s="203" t="s">
        <v>422</v>
      </c>
      <c r="B18" s="205"/>
      <c r="C18" s="205"/>
      <c r="D18" s="205"/>
      <c r="E18" s="205"/>
    </row>
    <row r="19" spans="1:5" ht="15" hidden="1" customHeight="1" thickBot="1" x14ac:dyDescent="0.35">
      <c r="A19" s="206"/>
      <c r="B19" s="204"/>
      <c r="C19" s="204"/>
      <c r="D19" s="204"/>
      <c r="E19" s="204"/>
    </row>
    <row r="20" spans="1:5" ht="15" customHeight="1" x14ac:dyDescent="0.3">
      <c r="A20" s="207"/>
      <c r="B20" s="205"/>
      <c r="C20" s="205"/>
      <c r="D20" s="205"/>
      <c r="E20" s="205"/>
    </row>
    <row r="21" spans="1:5" ht="15" customHeight="1" thickBot="1" x14ac:dyDescent="0.35">
      <c r="A21" s="208"/>
      <c r="B21" s="204"/>
      <c r="C21" s="204"/>
      <c r="D21" s="204"/>
      <c r="E21" s="204"/>
    </row>
    <row r="22" spans="1:5" ht="15" hidden="1" customHeight="1" x14ac:dyDescent="0.3">
      <c r="A22" s="207"/>
      <c r="B22" s="205"/>
      <c r="C22" s="209"/>
      <c r="D22" s="209"/>
      <c r="E22" s="209"/>
    </row>
    <row r="23" spans="1:5" ht="15" hidden="1" customHeight="1" thickBot="1" x14ac:dyDescent="0.35">
      <c r="A23" s="208"/>
      <c r="B23" s="204"/>
      <c r="C23" s="210"/>
      <c r="D23" s="210"/>
      <c r="E23" s="210"/>
    </row>
    <row r="24" spans="1:5" ht="15" hidden="1" customHeight="1" x14ac:dyDescent="0.3">
      <c r="A24" s="207"/>
      <c r="B24" s="205"/>
      <c r="C24" s="209"/>
      <c r="D24" s="209"/>
      <c r="E24" s="209"/>
    </row>
    <row r="25" spans="1:5" ht="15" hidden="1" customHeight="1" thickBot="1" x14ac:dyDescent="0.35">
      <c r="A25" s="208"/>
      <c r="B25" s="204"/>
      <c r="C25" s="210"/>
      <c r="D25" s="210"/>
      <c r="E25" s="210"/>
    </row>
    <row r="26" spans="1:5" x14ac:dyDescent="0.3">
      <c r="A26" s="211"/>
      <c r="B26" s="164"/>
      <c r="C26" s="164"/>
      <c r="D26" s="164"/>
      <c r="E26" s="212"/>
    </row>
    <row r="27" spans="1:5" x14ac:dyDescent="0.3">
      <c r="A27" s="164"/>
      <c r="B27" s="164"/>
      <c r="C27" s="164"/>
      <c r="D27" s="164"/>
      <c r="E27" s="164"/>
    </row>
    <row r="28" spans="1:5" x14ac:dyDescent="0.3">
      <c r="A28" s="35"/>
      <c r="B28" s="164"/>
      <c r="C28" s="164"/>
      <c r="D28" s="164"/>
      <c r="E28" s="164"/>
    </row>
    <row r="29" spans="1:5" x14ac:dyDescent="0.3">
      <c r="A29" s="164"/>
      <c r="B29" s="164"/>
      <c r="C29" s="164"/>
      <c r="D29" s="164"/>
      <c r="E29" s="164"/>
    </row>
    <row r="30" spans="1:5" x14ac:dyDescent="0.3">
      <c r="A30" s="164"/>
      <c r="B30" s="164"/>
      <c r="C30" s="164"/>
      <c r="D30" s="164"/>
      <c r="E30" s="164"/>
    </row>
    <row r="31" spans="1:5" x14ac:dyDescent="0.3">
      <c r="A31" s="164"/>
      <c r="B31" s="164"/>
      <c r="C31" s="164"/>
      <c r="D31" s="164"/>
      <c r="E31" s="164"/>
    </row>
    <row r="32" spans="1:5" x14ac:dyDescent="0.3">
      <c r="A32" s="164"/>
      <c r="B32" s="164"/>
      <c r="C32" s="164"/>
      <c r="D32" s="164"/>
      <c r="E32" s="164"/>
    </row>
    <row r="33" spans="1:5" x14ac:dyDescent="0.3">
      <c r="A33" s="164"/>
      <c r="B33" s="164"/>
      <c r="C33" s="164"/>
      <c r="D33" s="164"/>
      <c r="E33" s="164"/>
    </row>
    <row r="34" spans="1:5" x14ac:dyDescent="0.3">
      <c r="A34" s="164"/>
      <c r="B34" s="164"/>
      <c r="C34" s="164"/>
      <c r="D34" s="164"/>
      <c r="E34" s="164"/>
    </row>
    <row r="35" spans="1:5" x14ac:dyDescent="0.3">
      <c r="A35" s="164"/>
      <c r="B35" s="164"/>
      <c r="C35" s="164"/>
      <c r="D35" s="164"/>
      <c r="E35" s="164"/>
    </row>
    <row r="36" spans="1:5" x14ac:dyDescent="0.3">
      <c r="A36" s="164"/>
      <c r="B36" s="164"/>
      <c r="C36" s="164"/>
      <c r="D36" s="164"/>
      <c r="E36" s="164"/>
    </row>
    <row r="37" spans="1:5" x14ac:dyDescent="0.3">
      <c r="A37" s="164"/>
      <c r="B37" s="164"/>
      <c r="C37" s="164"/>
      <c r="D37" s="164"/>
      <c r="E37" s="164"/>
    </row>
    <row r="38" spans="1:5" x14ac:dyDescent="0.3">
      <c r="A38" s="164"/>
      <c r="B38" s="164"/>
      <c r="C38" s="164"/>
      <c r="D38" s="164"/>
      <c r="E38" s="164"/>
    </row>
    <row r="39" spans="1:5" x14ac:dyDescent="0.3">
      <c r="A39" s="164"/>
      <c r="B39" s="164"/>
      <c r="C39" s="164"/>
      <c r="D39" s="164"/>
      <c r="E39" s="164"/>
    </row>
    <row r="40" spans="1:5" x14ac:dyDescent="0.3">
      <c r="A40" s="164"/>
      <c r="B40" s="164"/>
      <c r="C40" s="164"/>
      <c r="D40" s="164"/>
      <c r="E40" s="164"/>
    </row>
    <row r="41" spans="1:5" x14ac:dyDescent="0.3">
      <c r="A41" s="164"/>
      <c r="B41" s="164"/>
      <c r="C41" s="164"/>
      <c r="D41" s="164"/>
      <c r="E41" s="164"/>
    </row>
    <row r="42" spans="1:5" x14ac:dyDescent="0.3">
      <c r="A42" s="164"/>
      <c r="B42" s="164"/>
      <c r="C42" s="164"/>
      <c r="D42" s="164"/>
      <c r="E42" s="164"/>
    </row>
  </sheetData>
  <sheetProtection sheet="1" objects="1" scenarios="1"/>
  <phoneticPr fontId="2" type="noConversion"/>
  <dataValidations count="2">
    <dataValidation type="list" allowBlank="1" showInputMessage="1" showErrorMessage="1" sqref="B2:E25" xr:uid="{8BAB8DB9-F491-4C76-A413-B520334775AD}">
      <formula1>validTeamMembersInitials</formula1>
    </dataValidation>
    <dataValidation allowBlank="1" showInputMessage="1" showErrorMessage="1" promptTitle="Team Member Role" prompt="Scroll the drop-drown list and select the initials of the team member assigned to this role. Hint: if team member initials are not shown, scroll the list up, or verify that the team member initials are defined on the Team worksheet." sqref="B1" xr:uid="{06828BCB-95D1-40BA-BE1E-FAF0C0FBB488}"/>
  </dataValidations>
  <pageMargins left="0.75" right="0.75" top="1" bottom="1" header="0.5" footer="0.5"/>
  <pageSetup orientation="portrait"/>
  <headerFooter alignWithMargins="0">
    <oddFooter>&amp;L File: &amp;F ! &amp;A&amp;R&amp;D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D7EB8-365B-4504-BD8E-15DAA83EBA4C}">
  <sheetPr codeName="SUMP"/>
  <dimension ref="A1:AC98"/>
  <sheetViews>
    <sheetView showRowColHeaders="0" zoomScaleNormal="100" workbookViewId="0">
      <pane ySplit="5" topLeftCell="A6" activePane="bottomLeft" state="frozenSplit"/>
      <selection pane="bottomLeft" activeCell="I1" sqref="I1"/>
    </sheetView>
  </sheetViews>
  <sheetFormatPr baseColWidth="10" defaultColWidth="9.1328125" defaultRowHeight="12.75" x14ac:dyDescent="0.35"/>
  <cols>
    <col min="1" max="1" width="30.1328125" style="36" bestFit="1" customWidth="1"/>
    <col min="2" max="2" width="9.1328125" style="36"/>
    <col min="3" max="3" width="1.73046875" style="36" customWidth="1"/>
    <col min="4" max="4" width="9.1328125" style="36"/>
    <col min="5" max="5" width="1.73046875" style="36" customWidth="1"/>
    <col min="6" max="6" width="8.73046875" style="36" customWidth="1"/>
    <col min="7" max="7" width="1.73046875" style="36" customWidth="1"/>
    <col min="8" max="8" width="8.73046875" style="1" customWidth="1"/>
    <col min="9" max="9" width="12.73046875" style="1" customWidth="1"/>
    <col min="10" max="10" width="1.73046875" style="1" customWidth="1"/>
    <col min="11" max="16384" width="9.1328125" style="1"/>
  </cols>
  <sheetData>
    <row r="1" spans="1:9" ht="15" x14ac:dyDescent="0.4">
      <c r="A1" s="64" t="str">
        <f>[0]!TSPProcessName &amp; " Plan Summary - Form SUMP"</f>
        <v>TSPi Plan Summary - Form SUMP</v>
      </c>
      <c r="B1" s="64"/>
      <c r="C1" s="64"/>
      <c r="D1" s="64"/>
      <c r="E1" s="64"/>
      <c r="F1" s="64"/>
      <c r="G1" s="64"/>
      <c r="H1" s="64"/>
      <c r="I1" s="64"/>
    </row>
    <row r="2" spans="1:9" x14ac:dyDescent="0.35">
      <c r="A2" s="38" t="s">
        <v>312</v>
      </c>
      <c r="B2" s="350" t="str">
        <f>IF(Name=0,"",Name)</f>
        <v>Isaac Diaz Perez</v>
      </c>
      <c r="C2" s="350"/>
      <c r="D2" s="350"/>
      <c r="E2" s="350"/>
      <c r="F2" s="350"/>
      <c r="H2" s="38" t="s">
        <v>314</v>
      </c>
      <c r="I2" s="70">
        <f ca="1">currentDate</f>
        <v>46182</v>
      </c>
    </row>
    <row r="3" spans="1:9" x14ac:dyDescent="0.35">
      <c r="A3" s="38" t="s">
        <v>14</v>
      </c>
      <c r="B3" s="351" t="str">
        <f>IF(TeamName=0,"",TeamName)</f>
        <v>TSP-GRUPO B02-SUBGRUPO 3</v>
      </c>
      <c r="C3" s="351"/>
      <c r="D3" s="351"/>
      <c r="E3" s="351"/>
      <c r="F3" s="351"/>
      <c r="H3" s="38" t="str">
        <f>IF(Project!C5&lt;&gt;"",Project!C5,"")</f>
        <v>Instructor</v>
      </c>
      <c r="I3" s="39" t="str">
        <f>IF(InstructorName=0,"",InstructorName)</f>
        <v>Natalia Martinez Rojas</v>
      </c>
    </row>
    <row r="4" spans="1:9" x14ac:dyDescent="0.35">
      <c r="A4" s="62" t="s">
        <v>326</v>
      </c>
      <c r="B4" s="352"/>
      <c r="C4" s="352"/>
      <c r="D4" s="352"/>
      <c r="E4" s="352"/>
      <c r="F4" s="352"/>
      <c r="H4" s="38" t="s">
        <v>327</v>
      </c>
      <c r="I4" s="63">
        <f>IF(Cycle=0,"",Cycle)</f>
        <v>1</v>
      </c>
    </row>
    <row r="6" spans="1:9" x14ac:dyDescent="0.35">
      <c r="A6" s="40" t="s">
        <v>423</v>
      </c>
      <c r="B6" s="41" t="s">
        <v>306</v>
      </c>
      <c r="D6" s="41" t="s">
        <v>307</v>
      </c>
    </row>
    <row r="7" spans="1:9" x14ac:dyDescent="0.35">
      <c r="A7" s="36" t="s">
        <v>424</v>
      </c>
      <c r="B7" s="39">
        <v>0</v>
      </c>
      <c r="D7" s="39">
        <v>0</v>
      </c>
    </row>
    <row r="8" spans="1:9" x14ac:dyDescent="0.35">
      <c r="A8" s="36" t="s">
        <v>425</v>
      </c>
      <c r="B8" s="39"/>
      <c r="D8" s="39"/>
    </row>
    <row r="9" spans="1:9" x14ac:dyDescent="0.35">
      <c r="A9" s="36" t="s">
        <v>426</v>
      </c>
      <c r="B9" s="39"/>
      <c r="D9" s="39"/>
    </row>
    <row r="10" spans="1:9" x14ac:dyDescent="0.35">
      <c r="A10" s="36" t="s">
        <v>427</v>
      </c>
      <c r="B10" s="39">
        <v>3970</v>
      </c>
      <c r="D10" s="39">
        <v>0</v>
      </c>
    </row>
    <row r="11" spans="1:9" x14ac:dyDescent="0.35">
      <c r="A11" s="42" t="s">
        <v>428</v>
      </c>
      <c r="B11" s="39">
        <v>0</v>
      </c>
      <c r="D11" s="39">
        <v>0</v>
      </c>
    </row>
    <row r="12" spans="1:9" x14ac:dyDescent="0.35">
      <c r="A12" s="42" t="s">
        <v>429</v>
      </c>
      <c r="B12" s="39">
        <v>610</v>
      </c>
      <c r="D12" s="39">
        <v>0</v>
      </c>
    </row>
    <row r="13" spans="1:9" x14ac:dyDescent="0.35">
      <c r="A13" s="42" t="s">
        <v>430</v>
      </c>
      <c r="B13" s="39">
        <v>2250</v>
      </c>
      <c r="D13" s="39">
        <v>0</v>
      </c>
    </row>
    <row r="14" spans="1:9" x14ac:dyDescent="0.35">
      <c r="A14" s="42" t="s">
        <v>431</v>
      </c>
      <c r="B14" s="39">
        <v>0</v>
      </c>
      <c r="D14" s="39">
        <v>0</v>
      </c>
    </row>
    <row r="15" spans="1:9" x14ac:dyDescent="0.35">
      <c r="A15" s="36" t="s">
        <v>432</v>
      </c>
      <c r="B15" s="39">
        <f>B12+B13</f>
        <v>2860</v>
      </c>
      <c r="D15" s="39">
        <f>D12+D13</f>
        <v>0</v>
      </c>
    </row>
    <row r="16" spans="1:9" x14ac:dyDescent="0.35">
      <c r="A16" s="36" t="s">
        <v>433</v>
      </c>
      <c r="B16" s="39">
        <f>B15+B10-B11-B12+B14</f>
        <v>6220</v>
      </c>
      <c r="D16" s="39">
        <f>D15+D10-D11-D12+D14</f>
        <v>0</v>
      </c>
    </row>
    <row r="17" spans="1:6" x14ac:dyDescent="0.35">
      <c r="A17" s="36" t="s">
        <v>434</v>
      </c>
      <c r="B17" s="39">
        <v>0</v>
      </c>
      <c r="D17" s="39">
        <v>0</v>
      </c>
    </row>
    <row r="18" spans="1:6" x14ac:dyDescent="0.35">
      <c r="A18" s="36" t="s">
        <v>435</v>
      </c>
      <c r="B18" s="39"/>
      <c r="D18" s="39"/>
    </row>
    <row r="19" spans="1:6" x14ac:dyDescent="0.35">
      <c r="A19" s="36" t="s">
        <v>436</v>
      </c>
      <c r="B19" s="39"/>
      <c r="D19" s="39"/>
    </row>
    <row r="20" spans="1:6" x14ac:dyDescent="0.35">
      <c r="A20" s="36" t="s">
        <v>437</v>
      </c>
      <c r="B20" s="39"/>
      <c r="D20" s="39"/>
    </row>
    <row r="22" spans="1:6" x14ac:dyDescent="0.35">
      <c r="A22" s="40" t="s">
        <v>438</v>
      </c>
      <c r="B22" s="41" t="s">
        <v>306</v>
      </c>
      <c r="D22" s="41" t="s">
        <v>307</v>
      </c>
      <c r="F22" s="41" t="s">
        <v>439</v>
      </c>
    </row>
    <row r="23" spans="1:6" x14ac:dyDescent="0.35">
      <c r="A23" s="42" t="str">
        <f>Phases!B2</f>
        <v>Management and Miscellaneous</v>
      </c>
      <c r="B23" s="55">
        <v>0</v>
      </c>
      <c r="D23" s="55">
        <v>0</v>
      </c>
      <c r="F23" s="50">
        <f>IF($D$45=0,,D23/$D$45)</f>
        <v>0</v>
      </c>
    </row>
    <row r="24" spans="1:6" x14ac:dyDescent="0.35">
      <c r="A24" s="42" t="str">
        <f>Phases!B3</f>
        <v>Launch and Strategy</v>
      </c>
      <c r="B24" s="55">
        <v>6</v>
      </c>
      <c r="D24" s="55">
        <v>0</v>
      </c>
      <c r="F24" s="50">
        <f t="shared" ref="F24:F44" si="0">IF($D$45=0,,D24/$D$45)</f>
        <v>0</v>
      </c>
    </row>
    <row r="25" spans="1:6" x14ac:dyDescent="0.35">
      <c r="A25" s="42" t="str">
        <f>Phases!B4</f>
        <v>Planning</v>
      </c>
      <c r="B25" s="55">
        <v>23</v>
      </c>
      <c r="D25" s="55">
        <v>0</v>
      </c>
      <c r="F25" s="50">
        <f t="shared" si="0"/>
        <v>0</v>
      </c>
    </row>
    <row r="26" spans="1:6" x14ac:dyDescent="0.35">
      <c r="A26" s="42" t="str">
        <f>Phases!B5</f>
        <v>Requirements</v>
      </c>
      <c r="B26" s="55">
        <v>19</v>
      </c>
      <c r="D26" s="55">
        <v>0</v>
      </c>
      <c r="F26" s="50">
        <f t="shared" si="0"/>
        <v>0</v>
      </c>
    </row>
    <row r="27" spans="1:6" x14ac:dyDescent="0.35">
      <c r="A27" s="42" t="str">
        <f>Phases!B6</f>
        <v>System Test Plan</v>
      </c>
      <c r="B27" s="55">
        <v>0</v>
      </c>
      <c r="D27" s="55">
        <v>0</v>
      </c>
      <c r="F27" s="50">
        <f t="shared" si="0"/>
        <v>0</v>
      </c>
    </row>
    <row r="28" spans="1:6" x14ac:dyDescent="0.35">
      <c r="A28" s="42" t="str">
        <f>Phases!B7</f>
        <v>REQ Inspection</v>
      </c>
      <c r="B28" s="55">
        <v>0</v>
      </c>
      <c r="D28" s="55">
        <v>0</v>
      </c>
      <c r="F28" s="50">
        <f t="shared" si="0"/>
        <v>0</v>
      </c>
    </row>
    <row r="29" spans="1:6" x14ac:dyDescent="0.35">
      <c r="A29" s="42" t="str">
        <f>Phases!B8</f>
        <v>High-Level Design</v>
      </c>
      <c r="B29" s="55">
        <v>0</v>
      </c>
      <c r="D29" s="55">
        <v>0</v>
      </c>
      <c r="F29" s="50">
        <f t="shared" si="0"/>
        <v>0</v>
      </c>
    </row>
    <row r="30" spans="1:6" x14ac:dyDescent="0.35">
      <c r="A30" s="42" t="str">
        <f>Phases!B9</f>
        <v>Integration Test Plan</v>
      </c>
      <c r="B30" s="55">
        <v>0</v>
      </c>
      <c r="D30" s="55">
        <v>0</v>
      </c>
      <c r="F30" s="50">
        <f t="shared" si="0"/>
        <v>0</v>
      </c>
    </row>
    <row r="31" spans="1:6" x14ac:dyDescent="0.35">
      <c r="A31" s="42" t="str">
        <f>Phases!B10</f>
        <v>HLD Inspection</v>
      </c>
      <c r="B31" s="55">
        <v>0</v>
      </c>
      <c r="D31" s="55">
        <v>0</v>
      </c>
      <c r="F31" s="50">
        <f t="shared" si="0"/>
        <v>0</v>
      </c>
    </row>
    <row r="32" spans="1:6" x14ac:dyDescent="0.35">
      <c r="A32" s="42" t="str">
        <f>Phases!B11</f>
        <v>Detailed Design</v>
      </c>
      <c r="B32" s="55">
        <v>39</v>
      </c>
      <c r="D32" s="55">
        <v>0</v>
      </c>
      <c r="F32" s="50">
        <f t="shared" si="0"/>
        <v>0</v>
      </c>
    </row>
    <row r="33" spans="1:6" x14ac:dyDescent="0.35">
      <c r="A33" s="42" t="str">
        <f>Phases!B12</f>
        <v>DLD Review</v>
      </c>
      <c r="B33" s="55">
        <v>0</v>
      </c>
      <c r="D33" s="55">
        <v>0</v>
      </c>
      <c r="F33" s="50">
        <f t="shared" si="0"/>
        <v>0</v>
      </c>
    </row>
    <row r="34" spans="1:6" x14ac:dyDescent="0.35">
      <c r="A34" s="42" t="str">
        <f>Phases!B13</f>
        <v>Test Development</v>
      </c>
      <c r="B34" s="55">
        <v>38</v>
      </c>
      <c r="D34" s="55">
        <v>0</v>
      </c>
      <c r="F34" s="50">
        <f t="shared" si="0"/>
        <v>0</v>
      </c>
    </row>
    <row r="35" spans="1:6" x14ac:dyDescent="0.35">
      <c r="A35" s="42" t="str">
        <f>Phases!B14</f>
        <v>DLD Inspection</v>
      </c>
      <c r="B35" s="55">
        <v>0</v>
      </c>
      <c r="D35" s="55">
        <v>0</v>
      </c>
      <c r="F35" s="50">
        <f t="shared" si="0"/>
        <v>0</v>
      </c>
    </row>
    <row r="36" spans="1:6" x14ac:dyDescent="0.35">
      <c r="A36" s="42" t="str">
        <f>Phases!B15</f>
        <v>Code</v>
      </c>
      <c r="B36" s="55">
        <v>57</v>
      </c>
      <c r="D36" s="55">
        <v>0</v>
      </c>
      <c r="F36" s="50">
        <f t="shared" si="0"/>
        <v>0</v>
      </c>
    </row>
    <row r="37" spans="1:6" x14ac:dyDescent="0.35">
      <c r="A37" s="42" t="str">
        <f>Phases!B16</f>
        <v>Code Review</v>
      </c>
      <c r="B37" s="55">
        <v>0</v>
      </c>
      <c r="D37" s="55">
        <v>0</v>
      </c>
      <c r="F37" s="50">
        <f t="shared" si="0"/>
        <v>0</v>
      </c>
    </row>
    <row r="38" spans="1:6" x14ac:dyDescent="0.35">
      <c r="A38" s="42" t="str">
        <f>Phases!B17</f>
        <v>Compile</v>
      </c>
      <c r="B38" s="55">
        <v>0</v>
      </c>
      <c r="D38" s="55">
        <v>0</v>
      </c>
      <c r="F38" s="50">
        <f t="shared" si="0"/>
        <v>0</v>
      </c>
    </row>
    <row r="39" spans="1:6" x14ac:dyDescent="0.35">
      <c r="A39" s="42" t="str">
        <f>Phases!B18</f>
        <v>Code Inspection</v>
      </c>
      <c r="B39" s="55">
        <v>0</v>
      </c>
      <c r="D39" s="55">
        <v>0</v>
      </c>
      <c r="F39" s="50">
        <f t="shared" si="0"/>
        <v>0</v>
      </c>
    </row>
    <row r="40" spans="1:6" x14ac:dyDescent="0.35">
      <c r="A40" s="42" t="str">
        <f>Phases!B19</f>
        <v>Unit Test</v>
      </c>
      <c r="B40" s="55">
        <v>0</v>
      </c>
      <c r="D40" s="55">
        <v>0</v>
      </c>
      <c r="F40" s="50">
        <f t="shared" si="0"/>
        <v>0</v>
      </c>
    </row>
    <row r="41" spans="1:6" x14ac:dyDescent="0.35">
      <c r="A41" s="42" t="str">
        <f>Phases!B20</f>
        <v>Build and Integration Test</v>
      </c>
      <c r="B41" s="55">
        <v>0</v>
      </c>
      <c r="D41" s="55">
        <v>0</v>
      </c>
      <c r="F41" s="50">
        <f t="shared" si="0"/>
        <v>0</v>
      </c>
    </row>
    <row r="42" spans="1:6" x14ac:dyDescent="0.35">
      <c r="A42" s="42" t="str">
        <f>Phases!B21</f>
        <v>System Test</v>
      </c>
      <c r="B42" s="55">
        <v>0</v>
      </c>
      <c r="D42" s="55">
        <v>0</v>
      </c>
      <c r="F42" s="50">
        <f t="shared" si="0"/>
        <v>0</v>
      </c>
    </row>
    <row r="43" spans="1:6" x14ac:dyDescent="0.35">
      <c r="A43" s="42" t="str">
        <f>Phases!B22</f>
        <v>Documentation</v>
      </c>
      <c r="B43" s="55">
        <v>0</v>
      </c>
      <c r="D43" s="55">
        <v>0</v>
      </c>
      <c r="F43" s="50">
        <f t="shared" si="0"/>
        <v>0</v>
      </c>
    </row>
    <row r="44" spans="1:6" x14ac:dyDescent="0.35">
      <c r="A44" s="42" t="str">
        <f>Phases!B23</f>
        <v>Postmortem</v>
      </c>
      <c r="B44" s="55">
        <v>10</v>
      </c>
      <c r="D44" s="55">
        <v>0</v>
      </c>
      <c r="F44" s="50">
        <f t="shared" si="0"/>
        <v>0</v>
      </c>
    </row>
    <row r="45" spans="1:6" x14ac:dyDescent="0.35">
      <c r="A45" s="43" t="s">
        <v>440</v>
      </c>
      <c r="B45" s="55">
        <f>SUM(B23:B44)</f>
        <v>192</v>
      </c>
      <c r="D45" s="55">
        <f>SUM(D23:D44)</f>
        <v>0</v>
      </c>
      <c r="F45" s="50">
        <f>SUM(F23:F44)</f>
        <v>0</v>
      </c>
    </row>
    <row r="46" spans="1:6" x14ac:dyDescent="0.35">
      <c r="A46" s="42" t="s">
        <v>441</v>
      </c>
      <c r="B46" s="44"/>
      <c r="D46" s="44"/>
    </row>
    <row r="47" spans="1:6" x14ac:dyDescent="0.35">
      <c r="A47" s="42" t="s">
        <v>442</v>
      </c>
      <c r="B47" s="44"/>
      <c r="D47" s="44"/>
    </row>
    <row r="50" spans="1:8" x14ac:dyDescent="0.35">
      <c r="A50" s="40" t="s">
        <v>443</v>
      </c>
      <c r="B50" s="41" t="s">
        <v>306</v>
      </c>
      <c r="D50" s="41" t="s">
        <v>307</v>
      </c>
      <c r="F50" s="41" t="s">
        <v>439</v>
      </c>
    </row>
    <row r="51" spans="1:8" x14ac:dyDescent="0.35">
      <c r="A51" s="42" t="str">
        <f>IF(Phases!E4 = "Y", Phases!B4,"")</f>
        <v>Planning</v>
      </c>
      <c r="B51" s="55">
        <f>B25*SUMQ!D82</f>
        <v>0</v>
      </c>
      <c r="D51" s="56">
        <v>0</v>
      </c>
      <c r="F51" s="50">
        <f>IF($D$69&lt;&gt;0,D51/$D$69,)</f>
        <v>0</v>
      </c>
      <c r="H51" s="74"/>
    </row>
    <row r="52" spans="1:8" x14ac:dyDescent="0.35">
      <c r="A52" s="42" t="str">
        <f>IF(Phases!E5 = "Y", Phases!B5,"")</f>
        <v>Requirements</v>
      </c>
      <c r="B52" s="55">
        <f>B26*SUMQ!D83</f>
        <v>0</v>
      </c>
      <c r="D52" s="56">
        <v>0</v>
      </c>
      <c r="F52" s="50">
        <f t="shared" ref="F52:F68" si="1">IF($D$69&lt;&gt;0,D52/$D$69,)</f>
        <v>0</v>
      </c>
      <c r="H52" s="74"/>
    </row>
    <row r="53" spans="1:8" x14ac:dyDescent="0.35">
      <c r="A53" s="42" t="str">
        <f>IF(Phases!E6 = "Y", Phases!B6,"")</f>
        <v>System Test Plan</v>
      </c>
      <c r="B53" s="55">
        <f>B27*SUMQ!D84</f>
        <v>0</v>
      </c>
      <c r="D53" s="56">
        <v>0</v>
      </c>
      <c r="F53" s="50">
        <f>IF($D$69&lt;&gt;0,D53/$D$69,)</f>
        <v>0</v>
      </c>
      <c r="H53" s="74"/>
    </row>
    <row r="54" spans="1:8" x14ac:dyDescent="0.35">
      <c r="A54" s="42" t="str">
        <f>IF(Phases!E7 = "Y", Phases!B7,"")</f>
        <v>REQ Inspection</v>
      </c>
      <c r="B54" s="55">
        <f>B28*SUMQ!D85</f>
        <v>0</v>
      </c>
      <c r="D54" s="56">
        <v>0</v>
      </c>
      <c r="F54" s="50">
        <f t="shared" si="1"/>
        <v>0</v>
      </c>
      <c r="H54" s="74"/>
    </row>
    <row r="55" spans="1:8" x14ac:dyDescent="0.35">
      <c r="A55" s="42" t="str">
        <f>IF(Phases!E8 = "Y", Phases!B8,"")</f>
        <v>High-Level Design</v>
      </c>
      <c r="B55" s="55">
        <f>B29*SUMQ!D86</f>
        <v>0</v>
      </c>
      <c r="D55" s="56">
        <v>0</v>
      </c>
      <c r="F55" s="50">
        <f t="shared" si="1"/>
        <v>0</v>
      </c>
      <c r="H55" s="74"/>
    </row>
    <row r="56" spans="1:8" x14ac:dyDescent="0.35">
      <c r="A56" s="42" t="str">
        <f>IF(Phases!E9 = "Y", Phases!B9,"")</f>
        <v>Integration Test Plan</v>
      </c>
      <c r="B56" s="55">
        <f>B30*SUMQ!D87</f>
        <v>0</v>
      </c>
      <c r="D56" s="56">
        <v>0</v>
      </c>
      <c r="F56" s="50">
        <f t="shared" si="1"/>
        <v>0</v>
      </c>
      <c r="H56" s="74"/>
    </row>
    <row r="57" spans="1:8" x14ac:dyDescent="0.35">
      <c r="A57" s="42" t="str">
        <f>IF(Phases!E10 = "Y", Phases!B10,"")</f>
        <v>HLD Inspection</v>
      </c>
      <c r="B57" s="55">
        <f>B31*SUMQ!D88</f>
        <v>0</v>
      </c>
      <c r="D57" s="56">
        <v>0</v>
      </c>
      <c r="F57" s="50">
        <f t="shared" si="1"/>
        <v>0</v>
      </c>
      <c r="H57" s="74"/>
    </row>
    <row r="58" spans="1:8" x14ac:dyDescent="0.35">
      <c r="A58" s="42" t="str">
        <f>IF(Phases!E11 = "Y", Phases!B11,"")</f>
        <v>Detailed Design</v>
      </c>
      <c r="B58" s="55">
        <f>B32*SUMQ!D89</f>
        <v>0</v>
      </c>
      <c r="D58" s="56">
        <v>0</v>
      </c>
      <c r="F58" s="50">
        <f t="shared" si="1"/>
        <v>0</v>
      </c>
      <c r="H58" s="74"/>
    </row>
    <row r="59" spans="1:8" x14ac:dyDescent="0.35">
      <c r="A59" s="42" t="str">
        <f>IF(Phases!E12 = "Y", Phases!B12,"")</f>
        <v>DLD Review</v>
      </c>
      <c r="B59" s="55">
        <f>B33*SUMQ!D90</f>
        <v>0</v>
      </c>
      <c r="D59" s="56">
        <v>0</v>
      </c>
      <c r="F59" s="50">
        <f t="shared" si="1"/>
        <v>0</v>
      </c>
      <c r="H59" s="74"/>
    </row>
    <row r="60" spans="1:8" x14ac:dyDescent="0.35">
      <c r="A60" s="42" t="str">
        <f>IF(Phases!E13 = "Y", Phases!B13,"")</f>
        <v>Test Development</v>
      </c>
      <c r="B60" s="55">
        <f>B34*SUMQ!D91</f>
        <v>0</v>
      </c>
      <c r="D60" s="56">
        <v>0</v>
      </c>
      <c r="F60" s="50">
        <f>IF($D$69&lt;&gt;0,D60/$D$69,)</f>
        <v>0</v>
      </c>
      <c r="H60" s="74"/>
    </row>
    <row r="61" spans="1:8" x14ac:dyDescent="0.35">
      <c r="A61" s="42" t="str">
        <f>IF(Phases!E14 = "Y", Phases!B14,"")</f>
        <v>DLD Inspection</v>
      </c>
      <c r="B61" s="55">
        <f>B35*SUMQ!D92</f>
        <v>0</v>
      </c>
      <c r="D61" s="56">
        <v>0</v>
      </c>
      <c r="F61" s="50">
        <f t="shared" si="1"/>
        <v>0</v>
      </c>
      <c r="H61" s="74"/>
    </row>
    <row r="62" spans="1:8" x14ac:dyDescent="0.35">
      <c r="A62" s="42" t="str">
        <f>IF(Phases!E15 = "Y", Phases!B15,"")</f>
        <v>Code</v>
      </c>
      <c r="B62" s="55">
        <f>B36*SUMQ!D93</f>
        <v>0</v>
      </c>
      <c r="D62" s="56">
        <v>0</v>
      </c>
      <c r="F62" s="50">
        <f t="shared" si="1"/>
        <v>0</v>
      </c>
      <c r="H62" s="74"/>
    </row>
    <row r="63" spans="1:8" x14ac:dyDescent="0.35">
      <c r="A63" s="42" t="str">
        <f>IF(Phases!E16 = "Y", Phases!B16,"")</f>
        <v>Code Review</v>
      </c>
      <c r="B63" s="55">
        <f>B37*SUMQ!D94</f>
        <v>0</v>
      </c>
      <c r="D63" s="56">
        <v>0</v>
      </c>
      <c r="F63" s="50">
        <f t="shared" si="1"/>
        <v>0</v>
      </c>
      <c r="H63" s="74"/>
    </row>
    <row r="64" spans="1:8" x14ac:dyDescent="0.35">
      <c r="A64" s="42" t="str">
        <f>IF(Phases!E17 = "Y", Phases!B17,"")</f>
        <v>Compile</v>
      </c>
      <c r="B64" s="55">
        <f>B38*SUMQ!D95</f>
        <v>0</v>
      </c>
      <c r="D64" s="56">
        <v>0</v>
      </c>
      <c r="F64" s="50">
        <f t="shared" si="1"/>
        <v>0</v>
      </c>
      <c r="H64" s="74"/>
    </row>
    <row r="65" spans="1:29" x14ac:dyDescent="0.35">
      <c r="A65" s="42" t="str">
        <f>IF(Phases!E18 = "Y", Phases!B18,"")</f>
        <v>Code Inspection</v>
      </c>
      <c r="B65" s="55">
        <f>B39*SUMQ!D96</f>
        <v>0</v>
      </c>
      <c r="D65" s="56">
        <v>0</v>
      </c>
      <c r="F65" s="50">
        <f t="shared" si="1"/>
        <v>0</v>
      </c>
      <c r="H65" s="74"/>
    </row>
    <row r="66" spans="1:29" x14ac:dyDescent="0.35">
      <c r="A66" s="42" t="str">
        <f>IF(Phases!E19 = "Y", Phases!B19,"")</f>
        <v>Unit Test</v>
      </c>
      <c r="B66" s="55">
        <f>B40*SUMQ!D97</f>
        <v>0</v>
      </c>
      <c r="D66" s="56">
        <v>0</v>
      </c>
      <c r="F66" s="50">
        <f t="shared" si="1"/>
        <v>0</v>
      </c>
      <c r="H66" s="74"/>
    </row>
    <row r="67" spans="1:29" x14ac:dyDescent="0.35">
      <c r="A67" s="42" t="str">
        <f>IF(Phases!E20 = "Y", Phases!B20,"")</f>
        <v>Build and Integration Test</v>
      </c>
      <c r="B67" s="55">
        <f>B41*SUMQ!D98</f>
        <v>0</v>
      </c>
      <c r="D67" s="56">
        <v>0</v>
      </c>
      <c r="F67" s="50">
        <f t="shared" si="1"/>
        <v>0</v>
      </c>
      <c r="H67" s="74"/>
    </row>
    <row r="68" spans="1:29" x14ac:dyDescent="0.35">
      <c r="A68" s="42" t="str">
        <f>IF(Phases!E21 = "Y", Phases!B21,"")</f>
        <v>System Test</v>
      </c>
      <c r="B68" s="55">
        <f>B42*SUMQ!D99</f>
        <v>0</v>
      </c>
      <c r="D68" s="56">
        <v>0</v>
      </c>
      <c r="F68" s="50">
        <f t="shared" si="1"/>
        <v>0</v>
      </c>
      <c r="H68" s="74"/>
    </row>
    <row r="69" spans="1:29" x14ac:dyDescent="0.35">
      <c r="A69" s="57" t="s">
        <v>444</v>
      </c>
      <c r="B69" s="55">
        <f>SUM(B51:B68)</f>
        <v>0</v>
      </c>
      <c r="D69" s="56">
        <f>SUM(D51:D68)</f>
        <v>0</v>
      </c>
      <c r="F69" s="50">
        <f>SUM(F51:F68)</f>
        <v>0</v>
      </c>
    </row>
    <row r="70" spans="1:29" x14ac:dyDescent="0.35">
      <c r="A70" s="36" t="str">
        <f>IF(Phases!F29 = "Y", Phases!B29,"")</f>
        <v/>
      </c>
    </row>
    <row r="71" spans="1:29" x14ac:dyDescent="0.35">
      <c r="A71" s="40" t="s">
        <v>445</v>
      </c>
      <c r="B71" s="41" t="s">
        <v>306</v>
      </c>
      <c r="D71" s="41" t="s">
        <v>307</v>
      </c>
      <c r="F71" s="41" t="s">
        <v>439</v>
      </c>
      <c r="AA71" s="1" t="s">
        <v>308</v>
      </c>
      <c r="AB71" s="1" t="s">
        <v>306</v>
      </c>
      <c r="AC71" s="1" t="s">
        <v>307</v>
      </c>
    </row>
    <row r="72" spans="1:29" x14ac:dyDescent="0.35">
      <c r="A72" s="42" t="str">
        <f>IF(Phases!F4 = "Y", Phases!B4,"")</f>
        <v>Planning</v>
      </c>
      <c r="B72" s="55">
        <f>B51*SUMQ!D55</f>
        <v>0</v>
      </c>
      <c r="D72" s="56">
        <v>0</v>
      </c>
      <c r="F72" s="50">
        <f>IF($D$90&lt;&gt;0,D72/$D$90,)</f>
        <v>0</v>
      </c>
      <c r="H72" s="74"/>
      <c r="I72" s="74"/>
      <c r="AA72" s="1" t="str">
        <f>A72</f>
        <v>Planning</v>
      </c>
      <c r="AB72" s="1">
        <f>B72</f>
        <v>0</v>
      </c>
      <c r="AC72" s="1">
        <f>D72</f>
        <v>0</v>
      </c>
    </row>
    <row r="73" spans="1:29" x14ac:dyDescent="0.35">
      <c r="A73" s="42" t="str">
        <f>IF(Phases!F5 = "Y", Phases!B5,"")</f>
        <v>Requirements</v>
      </c>
      <c r="B73" s="55">
        <f>(SUM($B$51:B52)-SUM($B$72:B72))*SUMQ!D56</f>
        <v>0</v>
      </c>
      <c r="D73" s="56">
        <v>0</v>
      </c>
      <c r="F73" s="50">
        <f t="shared" ref="F73:F89" si="2">IF($D$90&lt;&gt;0,D73/$D$90,)</f>
        <v>0</v>
      </c>
      <c r="H73" s="74"/>
      <c r="I73" s="74"/>
      <c r="AA73" s="1" t="str">
        <f t="shared" ref="AA73:AA89" si="3">A73</f>
        <v>Requirements</v>
      </c>
      <c r="AB73" s="1">
        <f>B73+AB72</f>
        <v>0</v>
      </c>
      <c r="AC73" s="1">
        <f>D73+AC72</f>
        <v>0</v>
      </c>
    </row>
    <row r="74" spans="1:29" x14ac:dyDescent="0.35">
      <c r="A74" s="42" t="str">
        <f>IF(Phases!F6 = "Y", Phases!B6,"")</f>
        <v>System Test Plan</v>
      </c>
      <c r="B74" s="55">
        <f>(SUM($B$51:B53)-SUM($B$72:B73))*SUMQ!D57</f>
        <v>0</v>
      </c>
      <c r="D74" s="56">
        <v>0</v>
      </c>
      <c r="F74" s="50">
        <f>IF($D$90&lt;&gt;0,D74/$D$90,)</f>
        <v>0</v>
      </c>
      <c r="H74" s="74"/>
      <c r="I74" s="74"/>
      <c r="AA74" s="1" t="str">
        <f t="shared" si="3"/>
        <v>System Test Plan</v>
      </c>
      <c r="AB74" s="1">
        <f t="shared" ref="AB74:AB89" si="4">B74+AB73</f>
        <v>0</v>
      </c>
      <c r="AC74" s="1">
        <f t="shared" ref="AC74:AC89" si="5">D74+AC73</f>
        <v>0</v>
      </c>
    </row>
    <row r="75" spans="1:29" x14ac:dyDescent="0.35">
      <c r="A75" s="42" t="str">
        <f>IF(Phases!F7 = "Y", Phases!B7,"")</f>
        <v>REQ Inspection</v>
      </c>
      <c r="B75" s="55">
        <f>(SUM($B$51:B54)-SUM($B$72:B74))*SUMQ!D58</f>
        <v>0</v>
      </c>
      <c r="D75" s="56">
        <v>0</v>
      </c>
      <c r="F75" s="50">
        <f t="shared" si="2"/>
        <v>0</v>
      </c>
      <c r="H75" s="74"/>
      <c r="I75" s="74"/>
      <c r="AA75" s="1" t="str">
        <f t="shared" si="3"/>
        <v>REQ Inspection</v>
      </c>
      <c r="AB75" s="1">
        <f t="shared" si="4"/>
        <v>0</v>
      </c>
      <c r="AC75" s="1">
        <f t="shared" si="5"/>
        <v>0</v>
      </c>
    </row>
    <row r="76" spans="1:29" x14ac:dyDescent="0.35">
      <c r="A76" s="42" t="str">
        <f>IF(Phases!F8 = "Y", Phases!B8,"")</f>
        <v>High-Level Design</v>
      </c>
      <c r="B76" s="55">
        <f>(SUM($B$51:B55)-SUM($B$72:B75))*SUMQ!D59</f>
        <v>0</v>
      </c>
      <c r="D76" s="56">
        <v>0</v>
      </c>
      <c r="F76" s="50">
        <f t="shared" si="2"/>
        <v>0</v>
      </c>
      <c r="H76" s="74"/>
      <c r="I76" s="74"/>
      <c r="AA76" s="1" t="str">
        <f t="shared" si="3"/>
        <v>High-Level Design</v>
      </c>
      <c r="AB76" s="1">
        <f t="shared" si="4"/>
        <v>0</v>
      </c>
      <c r="AC76" s="1">
        <f t="shared" si="5"/>
        <v>0</v>
      </c>
    </row>
    <row r="77" spans="1:29" x14ac:dyDescent="0.35">
      <c r="A77" s="42" t="str">
        <f>IF(Phases!F9 = "Y", Phases!B9,"")</f>
        <v>Integration Test Plan</v>
      </c>
      <c r="B77" s="55">
        <f>(SUM($B$51:B56)-SUM($B$72:B76))*SUMQ!D60</f>
        <v>0</v>
      </c>
      <c r="D77" s="56">
        <v>0</v>
      </c>
      <c r="F77" s="50">
        <f t="shared" si="2"/>
        <v>0</v>
      </c>
      <c r="H77" s="74"/>
      <c r="I77" s="74"/>
      <c r="AA77" s="1" t="str">
        <f t="shared" si="3"/>
        <v>Integration Test Plan</v>
      </c>
      <c r="AB77" s="1">
        <f t="shared" si="4"/>
        <v>0</v>
      </c>
      <c r="AC77" s="1">
        <f t="shared" si="5"/>
        <v>0</v>
      </c>
    </row>
    <row r="78" spans="1:29" x14ac:dyDescent="0.35">
      <c r="A78" s="42" t="str">
        <f>IF(Phases!F10 = "Y", Phases!B10,"")</f>
        <v>HLD Inspection</v>
      </c>
      <c r="B78" s="55">
        <f>(SUM($B$51:B57)-SUM($B$72:B77))*SUMQ!D61</f>
        <v>0</v>
      </c>
      <c r="D78" s="56">
        <v>0</v>
      </c>
      <c r="F78" s="50">
        <f t="shared" si="2"/>
        <v>0</v>
      </c>
      <c r="H78" s="74"/>
      <c r="I78" s="74"/>
      <c r="AA78" s="1" t="str">
        <f t="shared" si="3"/>
        <v>HLD Inspection</v>
      </c>
      <c r="AB78" s="1">
        <f t="shared" si="4"/>
        <v>0</v>
      </c>
      <c r="AC78" s="1">
        <f t="shared" si="5"/>
        <v>0</v>
      </c>
    </row>
    <row r="79" spans="1:29" x14ac:dyDescent="0.35">
      <c r="A79" s="42" t="str">
        <f>IF(Phases!F11 = "Y", Phases!B11,"")</f>
        <v>Detailed Design</v>
      </c>
      <c r="B79" s="55">
        <f>(SUM($B$51:B58)-SUM($B$72:B78))*SUMQ!D62</f>
        <v>0</v>
      </c>
      <c r="D79" s="56">
        <v>0</v>
      </c>
      <c r="F79" s="50">
        <f t="shared" si="2"/>
        <v>0</v>
      </c>
      <c r="H79" s="74"/>
      <c r="I79" s="74"/>
      <c r="AA79" s="1" t="str">
        <f t="shared" si="3"/>
        <v>Detailed Design</v>
      </c>
      <c r="AB79" s="1">
        <f t="shared" si="4"/>
        <v>0</v>
      </c>
      <c r="AC79" s="1">
        <f t="shared" si="5"/>
        <v>0</v>
      </c>
    </row>
    <row r="80" spans="1:29" x14ac:dyDescent="0.35">
      <c r="A80" s="42" t="str">
        <f>IF(Phases!F12 = "Y", Phases!B12,"")</f>
        <v>DLD Review</v>
      </c>
      <c r="B80" s="55">
        <f>(SUM($B$51:B59)-SUM($B$72:B79))*SUMQ!D63</f>
        <v>0</v>
      </c>
      <c r="D80" s="56">
        <v>0</v>
      </c>
      <c r="F80" s="50">
        <f t="shared" si="2"/>
        <v>0</v>
      </c>
      <c r="H80" s="74"/>
      <c r="I80" s="74"/>
      <c r="AA80" s="1" t="str">
        <f t="shared" si="3"/>
        <v>DLD Review</v>
      </c>
      <c r="AB80" s="1">
        <f t="shared" si="4"/>
        <v>0</v>
      </c>
      <c r="AC80" s="1">
        <f t="shared" si="5"/>
        <v>0</v>
      </c>
    </row>
    <row r="81" spans="1:29" x14ac:dyDescent="0.35">
      <c r="A81" s="42" t="str">
        <f>IF(Phases!F13 = "Y", Phases!B13,"")</f>
        <v>Test Development</v>
      </c>
      <c r="B81" s="55">
        <f>(SUM($B$51:B60)-SUM($B$72:B80))*SUMQ!D64</f>
        <v>0</v>
      </c>
      <c r="D81" s="56">
        <v>0</v>
      </c>
      <c r="F81" s="50">
        <f>IF($D$90&lt;&gt;0,D81/$D$90,)</f>
        <v>0</v>
      </c>
      <c r="H81" s="74"/>
      <c r="I81" s="74"/>
      <c r="AA81" s="1" t="str">
        <f t="shared" si="3"/>
        <v>Test Development</v>
      </c>
      <c r="AB81" s="1">
        <f t="shared" si="4"/>
        <v>0</v>
      </c>
      <c r="AC81" s="1">
        <f t="shared" si="5"/>
        <v>0</v>
      </c>
    </row>
    <row r="82" spans="1:29" x14ac:dyDescent="0.35">
      <c r="A82" s="42" t="str">
        <f>IF(Phases!F14 = "Y", Phases!B14,"")</f>
        <v>DLD Inspection</v>
      </c>
      <c r="B82" s="55">
        <f>(SUM($B$51:B61)-SUM($B$72:B81))*SUMQ!D65</f>
        <v>0</v>
      </c>
      <c r="D82" s="56">
        <v>0</v>
      </c>
      <c r="F82" s="50">
        <f t="shared" si="2"/>
        <v>0</v>
      </c>
      <c r="H82" s="74"/>
      <c r="I82" s="74"/>
      <c r="AA82" s="1" t="str">
        <f t="shared" si="3"/>
        <v>DLD Inspection</v>
      </c>
      <c r="AB82" s="1">
        <f t="shared" si="4"/>
        <v>0</v>
      </c>
      <c r="AC82" s="1">
        <f t="shared" si="5"/>
        <v>0</v>
      </c>
    </row>
    <row r="83" spans="1:29" x14ac:dyDescent="0.35">
      <c r="A83" s="42" t="str">
        <f>IF(Phases!F15 = "Y", Phases!B15,"")</f>
        <v>Code</v>
      </c>
      <c r="B83" s="55">
        <f>(SUM($B$51:B62)-SUM($B$72:B82))*SUMQ!D66</f>
        <v>0</v>
      </c>
      <c r="D83" s="56">
        <v>0</v>
      </c>
      <c r="F83" s="50">
        <f t="shared" si="2"/>
        <v>0</v>
      </c>
      <c r="H83" s="74"/>
      <c r="I83" s="74"/>
      <c r="AA83" s="1" t="str">
        <f t="shared" si="3"/>
        <v>Code</v>
      </c>
      <c r="AB83" s="1">
        <f t="shared" si="4"/>
        <v>0</v>
      </c>
      <c r="AC83" s="1">
        <f t="shared" si="5"/>
        <v>0</v>
      </c>
    </row>
    <row r="84" spans="1:29" x14ac:dyDescent="0.35">
      <c r="A84" s="42" t="str">
        <f>IF(Phases!F16 = "Y", Phases!B16,"")</f>
        <v>Code Review</v>
      </c>
      <c r="B84" s="55">
        <f>(SUM($B$51:B63)-SUM($B$72:B83))*SUMQ!D67</f>
        <v>0</v>
      </c>
      <c r="D84" s="56">
        <v>0</v>
      </c>
      <c r="F84" s="50">
        <f t="shared" si="2"/>
        <v>0</v>
      </c>
      <c r="H84" s="74"/>
      <c r="I84" s="74"/>
      <c r="AA84" s="1" t="str">
        <f t="shared" si="3"/>
        <v>Code Review</v>
      </c>
      <c r="AB84" s="1">
        <f t="shared" si="4"/>
        <v>0</v>
      </c>
      <c r="AC84" s="1">
        <f t="shared" si="5"/>
        <v>0</v>
      </c>
    </row>
    <row r="85" spans="1:29" x14ac:dyDescent="0.35">
      <c r="A85" s="42" t="str">
        <f>IF(Phases!F17 = "Y", Phases!B17,"")</f>
        <v>Compile</v>
      </c>
      <c r="B85" s="55">
        <f>(SUM($B$51:B64)-SUM($B$72:B84))*SUMQ!D68</f>
        <v>0</v>
      </c>
      <c r="D85" s="56">
        <v>0</v>
      </c>
      <c r="F85" s="50">
        <f t="shared" si="2"/>
        <v>0</v>
      </c>
      <c r="H85" s="74"/>
      <c r="I85" s="74"/>
      <c r="AA85" s="1" t="str">
        <f t="shared" si="3"/>
        <v>Compile</v>
      </c>
      <c r="AB85" s="1">
        <f t="shared" si="4"/>
        <v>0</v>
      </c>
      <c r="AC85" s="1">
        <f t="shared" si="5"/>
        <v>0</v>
      </c>
    </row>
    <row r="86" spans="1:29" x14ac:dyDescent="0.35">
      <c r="A86" s="42" t="str">
        <f>IF(Phases!F18 = "Y", Phases!B18,"")</f>
        <v>Code Inspection</v>
      </c>
      <c r="B86" s="55">
        <f>(SUM($B$51:B65)-SUM($B$72:B85))*SUMQ!D69</f>
        <v>0</v>
      </c>
      <c r="D86" s="56">
        <v>0</v>
      </c>
      <c r="F86" s="50">
        <f t="shared" si="2"/>
        <v>0</v>
      </c>
      <c r="H86" s="74"/>
      <c r="I86" s="74"/>
      <c r="AA86" s="1" t="str">
        <f t="shared" si="3"/>
        <v>Code Inspection</v>
      </c>
      <c r="AB86" s="1">
        <f t="shared" si="4"/>
        <v>0</v>
      </c>
      <c r="AC86" s="1">
        <f t="shared" si="5"/>
        <v>0</v>
      </c>
    </row>
    <row r="87" spans="1:29" x14ac:dyDescent="0.35">
      <c r="A87" s="42" t="str">
        <f>IF(Phases!F19 = "Y", Phases!B19,"")</f>
        <v>Unit Test</v>
      </c>
      <c r="B87" s="55">
        <f>(SUM($B$51:B66)-SUM($B$72:B86))*SUMQ!D70</f>
        <v>0</v>
      </c>
      <c r="D87" s="56">
        <v>0</v>
      </c>
      <c r="F87" s="50">
        <f t="shared" si="2"/>
        <v>0</v>
      </c>
      <c r="H87" s="74"/>
      <c r="I87" s="74"/>
      <c r="AA87" s="1" t="str">
        <f t="shared" si="3"/>
        <v>Unit Test</v>
      </c>
      <c r="AB87" s="1">
        <f t="shared" si="4"/>
        <v>0</v>
      </c>
      <c r="AC87" s="1">
        <f t="shared" si="5"/>
        <v>0</v>
      </c>
    </row>
    <row r="88" spans="1:29" x14ac:dyDescent="0.35">
      <c r="A88" s="42" t="str">
        <f>IF(Phases!F20 = "Y", Phases!B20,"")</f>
        <v>Build and Integration Test</v>
      </c>
      <c r="B88" s="55">
        <f>(SUM($B$51:B67)-SUM($B$72:B87))*SUMQ!D71</f>
        <v>0</v>
      </c>
      <c r="D88" s="56">
        <v>0</v>
      </c>
      <c r="F88" s="50">
        <f t="shared" si="2"/>
        <v>0</v>
      </c>
      <c r="H88" s="74"/>
      <c r="I88" s="74"/>
      <c r="AA88" s="1" t="str">
        <f t="shared" si="3"/>
        <v>Build and Integration Test</v>
      </c>
      <c r="AB88" s="1">
        <f t="shared" si="4"/>
        <v>0</v>
      </c>
      <c r="AC88" s="1">
        <f t="shared" si="5"/>
        <v>0</v>
      </c>
    </row>
    <row r="89" spans="1:29" x14ac:dyDescent="0.35">
      <c r="A89" s="42" t="str">
        <f>IF(Phases!F21 = "Y", Phases!B21,"")</f>
        <v>System Test</v>
      </c>
      <c r="B89" s="55">
        <f>(SUM($B$51:B68)-SUM($B$72:B88))*SUMQ!D72</f>
        <v>0</v>
      </c>
      <c r="D89" s="56">
        <v>0</v>
      </c>
      <c r="F89" s="50">
        <f t="shared" si="2"/>
        <v>0</v>
      </c>
      <c r="H89" s="74"/>
      <c r="I89" s="74"/>
      <c r="AA89" s="1" t="str">
        <f t="shared" si="3"/>
        <v>System Test</v>
      </c>
      <c r="AB89" s="1">
        <f t="shared" si="4"/>
        <v>0</v>
      </c>
      <c r="AC89" s="1">
        <f t="shared" si="5"/>
        <v>0</v>
      </c>
    </row>
    <row r="90" spans="1:29" x14ac:dyDescent="0.35">
      <c r="A90" s="57" t="s">
        <v>446</v>
      </c>
      <c r="B90" s="55">
        <f>SUM(B72:B89)</f>
        <v>0</v>
      </c>
      <c r="D90" s="56">
        <f>SUM(D72:D89)</f>
        <v>0</v>
      </c>
      <c r="I90" s="74"/>
      <c r="AA90" s="1" t="str">
        <f>A91</f>
        <v>Acceptance Test</v>
      </c>
      <c r="AB90" s="74">
        <f>B91+AB89</f>
        <v>0</v>
      </c>
      <c r="AC90" s="74">
        <f>D91+AC89</f>
        <v>0</v>
      </c>
    </row>
    <row r="91" spans="1:29" x14ac:dyDescent="0.35">
      <c r="A91" s="42" t="s">
        <v>447</v>
      </c>
      <c r="B91" s="55">
        <f>(SUM($B$51:B68)-SUM($B$72:B89))*SUMQ!D73</f>
        <v>0</v>
      </c>
      <c r="D91" s="56">
        <v>0</v>
      </c>
      <c r="AA91" s="1" t="str">
        <f>A92</f>
        <v>Product Life</v>
      </c>
      <c r="AB91" s="74">
        <f>B92+AB90</f>
        <v>0</v>
      </c>
      <c r="AC91" s="74">
        <f>D92+AC90</f>
        <v>0</v>
      </c>
    </row>
    <row r="92" spans="1:29" x14ac:dyDescent="0.35">
      <c r="A92" s="42" t="str">
        <f>IF(Phases!F25 = "Y", Phases!B25,"")</f>
        <v>Product Life</v>
      </c>
      <c r="B92" s="55">
        <f>B69-(B90+B91)</f>
        <v>0</v>
      </c>
      <c r="D92" s="56">
        <v>0</v>
      </c>
    </row>
    <row r="94" spans="1:29" x14ac:dyDescent="0.35">
      <c r="A94" s="40" t="s">
        <v>448</v>
      </c>
      <c r="B94" s="41" t="s">
        <v>306</v>
      </c>
      <c r="D94" s="41" t="s">
        <v>307</v>
      </c>
    </row>
    <row r="95" spans="1:29" x14ac:dyDescent="0.35">
      <c r="A95" s="36" t="s">
        <v>449</v>
      </c>
      <c r="B95" s="55">
        <f>IF(B45&gt;0,B15/B45,"")</f>
        <v>14.895833333333334</v>
      </c>
      <c r="D95" s="55" t="str">
        <f>IF(D45&gt;0,D15/D45,"")</f>
        <v/>
      </c>
    </row>
    <row r="96" spans="1:29" x14ac:dyDescent="0.35">
      <c r="A96" s="36" t="s">
        <v>450</v>
      </c>
      <c r="D96" s="55" t="str">
        <f>IF(D45&lt;&gt;0,B45/D45,"")</f>
        <v/>
      </c>
    </row>
    <row r="97" spans="1:4" x14ac:dyDescent="0.35">
      <c r="A97" s="36" t="s">
        <v>451</v>
      </c>
      <c r="B97" s="50">
        <f>IF(B16&lt;&gt;0,B14/B16,"")</f>
        <v>0</v>
      </c>
      <c r="D97" s="50" t="str">
        <f>IF(D16&lt;&gt;0,D14/D16,"")</f>
        <v/>
      </c>
    </row>
    <row r="98" spans="1:4" x14ac:dyDescent="0.35">
      <c r="A98" s="36" t="s">
        <v>452</v>
      </c>
      <c r="B98" s="50">
        <f>IF(B15&lt;&gt;0,B17/B15,"")</f>
        <v>0</v>
      </c>
      <c r="D98" s="50" t="str">
        <f>IF(D15&lt;&gt;0,D17/D15,"")</f>
        <v/>
      </c>
    </row>
  </sheetData>
  <sheetProtection sheet="1" objects="1" scenarios="1"/>
  <mergeCells count="3">
    <mergeCell ref="B2:F2"/>
    <mergeCell ref="B3:F3"/>
    <mergeCell ref="B4:F4"/>
  </mergeCells>
  <phoneticPr fontId="2" type="noConversion"/>
  <dataValidations count="1">
    <dataValidation allowBlank="1" showInputMessage="1" showErrorMessage="1" promptTitle="Assembly" prompt="Select SYSTEM or the assembly to view." sqref="A4" xr:uid="{65A9BE00-DBB2-4308-BD5E-94DB9E87E230}"/>
  </dataValidations>
  <pageMargins left="0.75" right="0.75" top="0.5" bottom="0.5" header="0.5" footer="0.5"/>
  <pageSetup orientation="portrait"/>
  <headerFooter alignWithMargins="0">
    <oddFooter>&amp;L File: &amp;F ! &amp;A&amp;R&amp;D  &amp;P of &amp;N</oddFooter>
  </headerFooter>
  <rowBreaks count="1" manualBreakCount="1">
    <brk id="49"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56327" r:id="rId3" name="assemblyDropDown">
              <controlPr defaultSize="0" autoLine="0" autoPict="0" macro="[0]!SUMP.assemblyDropDownChange">
                <anchor moveWithCells="1">
                  <from>
                    <xdr:col>0</xdr:col>
                    <xdr:colOff>2138363</xdr:colOff>
                    <xdr:row>3</xdr:row>
                    <xdr:rowOff>0</xdr:rowOff>
                  </from>
                  <to>
                    <xdr:col>6</xdr:col>
                    <xdr:colOff>23813</xdr:colOff>
                    <xdr:row>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798C-8C14-4676-9F25-9E9F5A201AB4}">
  <sheetPr codeName="SUMQ"/>
  <dimension ref="A1:T124"/>
  <sheetViews>
    <sheetView showRowColHeaders="0" zoomScaleNormal="100" workbookViewId="0">
      <pane ySplit="5" topLeftCell="A6" activePane="bottomLeft" state="frozenSplit"/>
      <selection pane="bottomLeft" activeCell="B2" sqref="B2:F2"/>
    </sheetView>
  </sheetViews>
  <sheetFormatPr baseColWidth="10" defaultColWidth="9.1328125" defaultRowHeight="12.75" x14ac:dyDescent="0.35"/>
  <cols>
    <col min="1" max="1" width="30.73046875" style="36" customWidth="1"/>
    <col min="2" max="2" width="8.73046875" style="36" customWidth="1"/>
    <col min="3" max="3" width="1.73046875" style="36" customWidth="1"/>
    <col min="4" max="4" width="9.1328125" style="36"/>
    <col min="5" max="5" width="1.73046875" style="36" customWidth="1"/>
    <col min="6" max="6" width="8.73046875" style="36" customWidth="1"/>
    <col min="7" max="7" width="1.73046875" style="36" customWidth="1"/>
    <col min="8" max="8" width="8.1328125" style="36" customWidth="1"/>
    <col min="9" max="9" width="10.1328125" style="36" customWidth="1"/>
    <col min="10" max="10" width="1.73046875" style="1" customWidth="1"/>
    <col min="11" max="11" width="29.73046875" style="1" customWidth="1"/>
    <col min="12" max="12" width="5.265625" style="1" bestFit="1" customWidth="1"/>
    <col min="13" max="13" width="24.265625" style="1" bestFit="1" customWidth="1"/>
    <col min="14" max="14" width="6.1328125" style="1" customWidth="1"/>
    <col min="15" max="16384" width="9.1328125" style="1"/>
  </cols>
  <sheetData>
    <row r="1" spans="1:10" ht="15" x14ac:dyDescent="0.4">
      <c r="A1" s="37" t="str">
        <f>[0]!TSPProcessName &amp; " Quality Plan - Form SUMQ"</f>
        <v>TSPi Quality Plan - Form SUMQ</v>
      </c>
    </row>
    <row r="2" spans="1:10" x14ac:dyDescent="0.35">
      <c r="A2" s="38" t="s">
        <v>312</v>
      </c>
      <c r="B2" s="353" t="str">
        <f>IF(Name=0,"",Name)</f>
        <v>Isaac Diaz Perez</v>
      </c>
      <c r="C2" s="353"/>
      <c r="D2" s="353"/>
      <c r="E2" s="353"/>
      <c r="F2" s="353"/>
      <c r="H2" s="38" t="s">
        <v>314</v>
      </c>
      <c r="I2" s="70">
        <f ca="1">currentDate</f>
        <v>46182</v>
      </c>
      <c r="J2" s="36"/>
    </row>
    <row r="3" spans="1:10" x14ac:dyDescent="0.35">
      <c r="A3" s="38" t="s">
        <v>14</v>
      </c>
      <c r="B3" s="354" t="str">
        <f>IF(TeamName=0,"",TeamName)</f>
        <v>TSP-GRUPO B02-SUBGRUPO 3</v>
      </c>
      <c r="C3" s="354"/>
      <c r="D3" s="354"/>
      <c r="E3" s="354"/>
      <c r="F3" s="354"/>
      <c r="H3" s="38" t="str">
        <f>IF(Project!C5&lt;&gt;"",Project!C5,"")</f>
        <v>Instructor</v>
      </c>
      <c r="I3" s="39" t="str">
        <f>IF(InstructorName=0,"",InstructorName)</f>
        <v>Natalia Martinez Rojas</v>
      </c>
      <c r="J3" s="36"/>
    </row>
    <row r="4" spans="1:10" x14ac:dyDescent="0.35">
      <c r="A4" s="62" t="s">
        <v>326</v>
      </c>
      <c r="B4" s="352"/>
      <c r="C4" s="352"/>
      <c r="D4" s="352"/>
      <c r="E4" s="352"/>
      <c r="F4" s="352"/>
      <c r="H4" s="38" t="s">
        <v>327</v>
      </c>
      <c r="I4" s="63">
        <f>IF(Cycle=0,"",Cycle)</f>
        <v>1</v>
      </c>
      <c r="J4" s="36"/>
    </row>
    <row r="6" spans="1:10" x14ac:dyDescent="0.35">
      <c r="A6" s="40" t="s">
        <v>453</v>
      </c>
      <c r="B6" s="41"/>
      <c r="F6" s="41" t="s">
        <v>307</v>
      </c>
    </row>
    <row r="7" spans="1:10" x14ac:dyDescent="0.35">
      <c r="A7" s="42" t="str">
        <f>IF(Phases!H17 = "Y","In " &amp; Phases!B17,"")</f>
        <v>In Compile</v>
      </c>
      <c r="B7" s="41"/>
      <c r="C7" s="41"/>
      <c r="D7" s="41"/>
      <c r="F7" s="50">
        <v>1</v>
      </c>
    </row>
    <row r="8" spans="1:10" x14ac:dyDescent="0.35">
      <c r="A8" s="42" t="str">
        <f>IF(Phases!H19 = "Y","In " &amp; Phases!B19,"")</f>
        <v>In Unit Test</v>
      </c>
      <c r="B8" s="41"/>
      <c r="C8" s="41"/>
      <c r="D8" s="41"/>
      <c r="F8" s="50">
        <v>1</v>
      </c>
    </row>
    <row r="9" spans="1:10" x14ac:dyDescent="0.35">
      <c r="A9" s="42" t="str">
        <f>IF(Phases!H20 = "Y","In " &amp; Phases!B20,"")</f>
        <v>In Build and Integration Test</v>
      </c>
      <c r="B9" s="41"/>
      <c r="C9" s="41"/>
      <c r="D9" s="41"/>
      <c r="F9" s="50">
        <v>1</v>
      </c>
    </row>
    <row r="10" spans="1:10" x14ac:dyDescent="0.35">
      <c r="A10" s="42" t="str">
        <f>IF(Phases!H21 = "Y","In " &amp; Phases!B21,"")</f>
        <v>In System Test</v>
      </c>
      <c r="B10" s="41"/>
      <c r="C10" s="41"/>
      <c r="D10" s="41"/>
      <c r="F10" s="50">
        <v>1</v>
      </c>
    </row>
    <row r="11" spans="1:10" x14ac:dyDescent="0.35">
      <c r="A11" s="42" t="str">
        <f>IF(Phases!H24 = "Y","In " &amp; Phases!B24,"")</f>
        <v>In Acceptance Test</v>
      </c>
      <c r="B11" s="41"/>
      <c r="C11" s="41"/>
      <c r="D11" s="41"/>
      <c r="F11" s="50">
        <v>1</v>
      </c>
    </row>
    <row r="12" spans="1:10" x14ac:dyDescent="0.35">
      <c r="A12" s="42" t="str">
        <f>IF(Phases!H25 = "Y","In " &amp; Phases!B25,"")</f>
        <v>In Product Life</v>
      </c>
      <c r="B12" s="41"/>
      <c r="C12" s="41"/>
      <c r="D12" s="41"/>
      <c r="F12" s="50">
        <v>1</v>
      </c>
    </row>
    <row r="13" spans="1:10" ht="12.75" customHeight="1" x14ac:dyDescent="0.35">
      <c r="B13" s="41"/>
    </row>
    <row r="14" spans="1:10" x14ac:dyDescent="0.35">
      <c r="A14" s="40" t="s">
        <v>454</v>
      </c>
      <c r="B14" s="41"/>
      <c r="D14" s="41" t="s">
        <v>306</v>
      </c>
      <c r="F14" s="41" t="s">
        <v>307</v>
      </c>
    </row>
    <row r="15" spans="1:10" x14ac:dyDescent="0.35">
      <c r="A15" s="42" t="str">
        <f>IF(Phases!H7 = "y",Phases!B7,"")</f>
        <v>REQ Inspection</v>
      </c>
      <c r="B15" s="41"/>
      <c r="D15" s="60">
        <f>IF(SUMP!B7=0,0,SUMP!B75/SUMP!B7)</f>
        <v>0</v>
      </c>
      <c r="F15" s="60">
        <f>IF(SUMP!D7=0,0,SUMP!D75/SUMP!D7)</f>
        <v>0</v>
      </c>
    </row>
    <row r="16" spans="1:10" x14ac:dyDescent="0.35">
      <c r="A16" s="42" t="str">
        <f>IF(Phases!H10 = "y",Phases!B10,"")</f>
        <v>HLD Inspection</v>
      </c>
      <c r="B16" s="41"/>
      <c r="D16" s="60">
        <f>IF(SUMP!B8=0,0,SUMP!B78/SUMP!B8)</f>
        <v>0</v>
      </c>
      <c r="F16" s="60">
        <f>IF(SUMP!D8=0,0,SUMP!D78/SUMP!D8)</f>
        <v>0</v>
      </c>
    </row>
    <row r="17" spans="1:6" ht="12.75" customHeight="1" x14ac:dyDescent="0.35">
      <c r="A17" s="42"/>
      <c r="B17" s="41"/>
    </row>
    <row r="18" spans="1:6" x14ac:dyDescent="0.35">
      <c r="A18" s="40" t="s">
        <v>455</v>
      </c>
      <c r="B18" s="41"/>
      <c r="D18" s="41" t="s">
        <v>306</v>
      </c>
      <c r="F18" s="41" t="s">
        <v>307</v>
      </c>
    </row>
    <row r="19" spans="1:6" x14ac:dyDescent="0.35">
      <c r="A19" s="42" t="str">
        <f>IF(Phases!H12 = "y",Phases!B12,"")</f>
        <v>DLD Review</v>
      </c>
      <c r="B19" s="41"/>
      <c r="D19" s="60">
        <f>IF(SUMP!B$15=0,0,SUMP!B80/SUMP!B$15)*1000</f>
        <v>0</v>
      </c>
      <c r="F19" s="60">
        <f>IF(SUMP!D$15=0,0,SUMP!D80/SUMP!D$15)*1000</f>
        <v>0</v>
      </c>
    </row>
    <row r="20" spans="1:6" x14ac:dyDescent="0.35">
      <c r="A20" s="42" t="str">
        <f>IF(Phases!H14 = "y",Phases!B14,"")</f>
        <v>DLD Inspection</v>
      </c>
      <c r="B20" s="41"/>
      <c r="D20" s="60">
        <f>IF(SUMP!B$15=0,0,SUMP!B82/SUMP!B$15)*1000</f>
        <v>0</v>
      </c>
      <c r="F20" s="60">
        <f>IF(SUMP!D$15=0,0,SUMP!D82/SUMP!D$15)*1000</f>
        <v>0</v>
      </c>
    </row>
    <row r="21" spans="1:6" x14ac:dyDescent="0.35">
      <c r="A21" s="42" t="str">
        <f>IF(Phases!H16 = "y",Phases!B16,"")</f>
        <v>Code Review</v>
      </c>
      <c r="B21" s="41"/>
      <c r="D21" s="60">
        <f>IF(SUMP!B$15=0,0,SUMP!B84/SUMP!B$15)*1000</f>
        <v>0</v>
      </c>
      <c r="F21" s="60">
        <f>IF(SUMP!D$15=0,0,SUMP!D84/SUMP!D$15)*1000</f>
        <v>0</v>
      </c>
    </row>
    <row r="22" spans="1:6" x14ac:dyDescent="0.35">
      <c r="A22" s="42" t="str">
        <f>IF(Phases!H17 = "y",Phases!B17,"")</f>
        <v>Compile</v>
      </c>
      <c r="B22" s="41"/>
      <c r="D22" s="60">
        <f>IF(SUMP!B$15=0,0,SUMP!B85/SUMP!B$15)*1000</f>
        <v>0</v>
      </c>
      <c r="F22" s="60">
        <f>IF(SUMP!D$15=0,0,SUMP!D85/SUMP!D$15)*1000</f>
        <v>0</v>
      </c>
    </row>
    <row r="23" spans="1:6" x14ac:dyDescent="0.35">
      <c r="A23" s="42" t="str">
        <f>IF(Phases!H18 = "y",Phases!B18,"")</f>
        <v>Code Inspection</v>
      </c>
      <c r="B23" s="41"/>
      <c r="D23" s="60">
        <f>IF(SUMP!B$15=0,0,SUMP!B86/SUMP!B$15)*1000</f>
        <v>0</v>
      </c>
      <c r="F23" s="60">
        <f>IF(SUMP!D$15=0,0,SUMP!D86/SUMP!D$15)*1000</f>
        <v>0</v>
      </c>
    </row>
    <row r="24" spans="1:6" x14ac:dyDescent="0.35">
      <c r="A24" s="42" t="str">
        <f>IF(Phases!H19 = "y",Phases!B19,"")</f>
        <v>Unit Test</v>
      </c>
      <c r="B24" s="41"/>
      <c r="D24" s="60">
        <f>IF(SUMP!B$15=0,0,SUMP!B87/SUMP!B$15)*1000</f>
        <v>0</v>
      </c>
      <c r="F24" s="60">
        <f>IF(SUMP!D$15=0,0,SUMP!D87/SUMP!D$15)*1000</f>
        <v>0</v>
      </c>
    </row>
    <row r="25" spans="1:6" x14ac:dyDescent="0.35">
      <c r="A25" s="42" t="str">
        <f>IF(Phases!H20 = "y",Phases!B20,"")</f>
        <v>Build and Integration Test</v>
      </c>
      <c r="B25" s="41"/>
      <c r="D25" s="60">
        <f>IF(SUMP!B$15=0,0,SUMP!B88/SUMP!B$15)*1000</f>
        <v>0</v>
      </c>
      <c r="F25" s="60">
        <f>IF(SUMP!D$15=0,0,SUMP!D88/SUMP!D$15)*1000</f>
        <v>0</v>
      </c>
    </row>
    <row r="26" spans="1:6" x14ac:dyDescent="0.35">
      <c r="A26" s="42" t="str">
        <f>IF(Phases!H21 = "y",Phases!B21,"")</f>
        <v>System Test</v>
      </c>
      <c r="B26" s="41"/>
      <c r="D26" s="60">
        <f>IF(SUMP!B$15=0,0,SUMP!B89/SUMP!B$15)*1000</f>
        <v>0</v>
      </c>
      <c r="F26" s="60">
        <f>IF(SUMP!D$15=0,0,SUMP!D89/SUMP!D$15)*1000</f>
        <v>0</v>
      </c>
    </row>
    <row r="27" spans="1:6" x14ac:dyDescent="0.35">
      <c r="A27" s="43" t="s">
        <v>456</v>
      </c>
      <c r="B27" s="41"/>
      <c r="D27" s="60">
        <f>IF(SUMP!B$15=0,0,SUMP!B90/SUMP!B$15)*1000</f>
        <v>0</v>
      </c>
      <c r="F27" s="60">
        <f>IF(SUMP!D$15=0,0,SUMP!D90/SUMP!D$15)*1000</f>
        <v>0</v>
      </c>
    </row>
    <row r="28" spans="1:6" x14ac:dyDescent="0.35">
      <c r="A28" s="42" t="str">
        <f>IF(Phases!H24 = "y",Phases!B24,"")</f>
        <v>Acceptance Test</v>
      </c>
      <c r="B28" s="41"/>
      <c r="D28" s="60">
        <f>IF(SUMP!B$15=0,0,SUMP!B91/SUMP!B$15)*1000</f>
        <v>0</v>
      </c>
      <c r="F28" s="60">
        <f>IF(SUMP!D$15=0,0,SUMP!D91/SUMP!D$15)*1000</f>
        <v>0</v>
      </c>
    </row>
    <row r="29" spans="1:6" x14ac:dyDescent="0.35">
      <c r="A29" s="42" t="str">
        <f>IF(Phases!H25 = "y",Phases!B25,"")</f>
        <v>Product Life</v>
      </c>
      <c r="B29" s="41"/>
      <c r="D29" s="60">
        <f>IF(SUMP!B$15=0,0,SUMP!B92/SUMP!B$15)*1000</f>
        <v>0</v>
      </c>
      <c r="F29" s="60">
        <f>IF(SUMP!D$15=0,0,SUMP!D92/SUMP!D$15)*1000</f>
        <v>0</v>
      </c>
    </row>
    <row r="30" spans="1:6" x14ac:dyDescent="0.35">
      <c r="A30" s="43" t="s">
        <v>440</v>
      </c>
      <c r="B30" s="41"/>
      <c r="D30" s="60">
        <f>IF(SUMP!B$15=0,0,SUM(SUMP!B90:'SUMP'!B92)/SUMP!B$15)*1000</f>
        <v>0</v>
      </c>
      <c r="F30" s="60">
        <f>IF(SUMP!D$15=0,0,SUM(SUMP!D90:'SUMP'!D92)/SUMP!D$15)*1000</f>
        <v>0</v>
      </c>
    </row>
    <row r="31" spans="1:6" ht="12.75" customHeight="1" x14ac:dyDescent="0.35">
      <c r="B31" s="41"/>
    </row>
    <row r="32" spans="1:6" x14ac:dyDescent="0.35">
      <c r="A32" s="40" t="s">
        <v>228</v>
      </c>
      <c r="B32" s="41"/>
      <c r="D32" s="41" t="s">
        <v>306</v>
      </c>
      <c r="F32" s="41" t="s">
        <v>307</v>
      </c>
    </row>
    <row r="33" spans="1:6" x14ac:dyDescent="0.35">
      <c r="A33" s="42" t="str">
        <f>IF(Phases!I12 &lt;&gt;"",Phases!B12 &amp; "/" &amp; Phases!I12,"")</f>
        <v>DLD Review/Unit Test</v>
      </c>
      <c r="B33" s="41"/>
      <c r="D33" s="60">
        <f>IF(SUMP!B87=0,0,SUMP!B80/SUMP!B87)</f>
        <v>0</v>
      </c>
      <c r="F33" s="60">
        <f>IF(SUMP!D87=0,0,SUMP!D80/SUMP!D87)</f>
        <v>0</v>
      </c>
    </row>
    <row r="34" spans="1:6" x14ac:dyDescent="0.35">
      <c r="A34" s="42" t="str">
        <f>IF(Phases!I16 &lt;&gt;"",Phases!B16 &amp; "/" &amp; Phases!I16,"")</f>
        <v>Code Review/Compile</v>
      </c>
      <c r="B34" s="41"/>
      <c r="D34" s="60">
        <f>IF(SUMP!B85=0,0,SUMP!B84/SUMP!B85)</f>
        <v>0</v>
      </c>
      <c r="F34" s="60">
        <f>IF(SUMP!D85=0,0,SUMP!D84/SUMP!D85)</f>
        <v>0</v>
      </c>
    </row>
    <row r="35" spans="1:6" ht="12.75" customHeight="1" x14ac:dyDescent="0.35">
      <c r="B35" s="41"/>
    </row>
    <row r="36" spans="1:6" x14ac:dyDescent="0.35">
      <c r="A36" s="40" t="s">
        <v>232</v>
      </c>
      <c r="B36" s="41"/>
      <c r="D36" s="41" t="s">
        <v>306</v>
      </c>
      <c r="F36" s="41" t="s">
        <v>307</v>
      </c>
    </row>
    <row r="37" spans="1:6" x14ac:dyDescent="0.35">
      <c r="A37" s="42" t="str">
        <f>IF(Phases!J7&lt;&gt;"",Phases!B7 &amp; "/" &amp; Phases!J7,"")</f>
        <v>REQ Inspection/Requirements</v>
      </c>
      <c r="B37" s="41"/>
      <c r="D37" s="60">
        <f>IF(SUMP!B26=0,0,SUMP!B28/SUMP!B26)</f>
        <v>0</v>
      </c>
      <c r="F37" s="60">
        <f>IF(SUMP!D26=0,0,SUMP!D28/SUMP!D26)</f>
        <v>0</v>
      </c>
    </row>
    <row r="38" spans="1:6" x14ac:dyDescent="0.35">
      <c r="A38" s="42" t="str">
        <f>IF(Phases!J10&lt;&gt;"",Phases!B10 &amp; "/" &amp; Phases!J10,"")</f>
        <v>HLD Inspection/High-Level Design</v>
      </c>
      <c r="B38" s="41"/>
      <c r="D38" s="60">
        <f>IF(SUMP!B29=0,0,SUMP!B31/SUMP!B29)</f>
        <v>0</v>
      </c>
      <c r="F38" s="60">
        <f>IF(SUMP!D29=0,0,SUMP!D31/SUMP!D29)</f>
        <v>0</v>
      </c>
    </row>
    <row r="39" spans="1:6" x14ac:dyDescent="0.35">
      <c r="A39" s="42" t="str">
        <f>IF(Phases!J11&lt;&gt;"",Phases!B11 &amp; "/" &amp; Phases!J11,"")</f>
        <v>Detailed Design/Code</v>
      </c>
      <c r="B39" s="41"/>
      <c r="D39" s="60">
        <f>IF(SUMP!B36=0,0,SUMP!B32/SUMP!B36)</f>
        <v>0.68421052631578949</v>
      </c>
      <c r="F39" s="60">
        <f>IF(SUMP!D36=0,0,SUMP!D32/SUMP!D36)</f>
        <v>0</v>
      </c>
    </row>
    <row r="40" spans="1:6" x14ac:dyDescent="0.35">
      <c r="A40" s="42" t="str">
        <f>IF(Phases!J12&lt;&gt;"",Phases!B12 &amp; "/" &amp; Phases!J12,"")</f>
        <v>DLD Review/Detailed Design</v>
      </c>
      <c r="B40" s="41"/>
      <c r="D40" s="60">
        <f>IF(SUMP!B32=0,0,SUMP!B33/SUMP!B32)</f>
        <v>0</v>
      </c>
      <c r="F40" s="60">
        <f>IF(SUMP!D32=0,0,SUMP!D33/SUMP!D32)</f>
        <v>0</v>
      </c>
    </row>
    <row r="41" spans="1:6" x14ac:dyDescent="0.35">
      <c r="A41" s="42" t="str">
        <f>IF(Phases!J16&lt;&gt;"",Phases!B16 &amp; "/" &amp; Phases!J16,"")</f>
        <v>Code Review/Code</v>
      </c>
      <c r="B41" s="41"/>
      <c r="D41" s="60">
        <f>IF(SUMP!B36=0,0,SUMP!B37/SUMP!B36)</f>
        <v>0</v>
      </c>
      <c r="F41" s="60">
        <f>IF(SUMP!D36=0,0,SUMP!D37/SUMP!D36)</f>
        <v>0</v>
      </c>
    </row>
    <row r="42" spans="1:6" ht="12.75" customHeight="1" x14ac:dyDescent="0.35">
      <c r="A42" s="40"/>
      <c r="B42" s="41"/>
      <c r="C42" s="41"/>
      <c r="D42" s="41"/>
      <c r="E42" s="41"/>
      <c r="F42" s="41"/>
    </row>
    <row r="43" spans="1:6" x14ac:dyDescent="0.35">
      <c r="A43" s="40" t="s">
        <v>457</v>
      </c>
      <c r="B43" s="41"/>
      <c r="D43" s="41" t="s">
        <v>306</v>
      </c>
      <c r="F43" s="41" t="s">
        <v>307</v>
      </c>
    </row>
    <row r="44" spans="1:6" x14ac:dyDescent="0.35">
      <c r="A44" s="42" t="str">
        <f>IF(Phases!K7 = "Y",Phases!B7,"")</f>
        <v>REQ Inspection</v>
      </c>
      <c r="B44" s="41"/>
      <c r="D44" s="60">
        <f>IF(SUMP!B28=0,0,SUMP!B7/SUMP!B28)</f>
        <v>0</v>
      </c>
      <c r="F44" s="60">
        <f>IF(SUMP!D28=0,0,SUMP!D7/SUMP!D28)</f>
        <v>0</v>
      </c>
    </row>
    <row r="45" spans="1:6" x14ac:dyDescent="0.35">
      <c r="A45" s="42" t="str">
        <f>IF(Phases!K10 = "Y",Phases!B10,"")</f>
        <v>HLD Inspection</v>
      </c>
      <c r="B45" s="41"/>
      <c r="D45" s="60">
        <f>IF(SUMP!B31=0,0,SUMP!B8/SUMP!B31)</f>
        <v>0</v>
      </c>
      <c r="F45" s="60">
        <f>IF(SUMP!D31=0,0,SUMP!D8/SUMP!D31)</f>
        <v>0</v>
      </c>
    </row>
    <row r="46" spans="1:6" x14ac:dyDescent="0.35">
      <c r="A46" s="42" t="str">
        <f>IF(Phases!K12 = "Y",Phases!B12,"")</f>
        <v>DLD Review</v>
      </c>
      <c r="B46" s="41"/>
      <c r="D46" s="60">
        <f>IF(SUMP!B9=0,IF(SUMP!B33=0,0,SUMP!B15/SUMP!B33),IF(SUMP!B33=0,0,SUMP!B9/SUMP!B33))</f>
        <v>0</v>
      </c>
      <c r="F46" s="60">
        <f>IF(SUMP!D9=0,IF(SUMP!D33=0,0,SUMP!D15/SUMP!D33),IF(SUMP!D33=0,0,SUMP!D9/SUMP!D33))</f>
        <v>0</v>
      </c>
    </row>
    <row r="47" spans="1:6" x14ac:dyDescent="0.35">
      <c r="A47" s="42" t="str">
        <f>IF(Phases!K14 = "Y",Phases!B14,"")</f>
        <v>DLD Inspection</v>
      </c>
      <c r="B47" s="41"/>
      <c r="D47" s="60">
        <f>IF(SUMP!B9=0,IF(SUMP!B35=0,0,SUMP!B15/SUMP!B35),IF(SUMP!B35=0,0,SUMP!B9/SUMP!B35))</f>
        <v>0</v>
      </c>
      <c r="F47" s="60">
        <f>IF(SUMP!D9=0,IF(SUMP!D35=0,0,SUMP!D15/SUMP!D35),IF(SUMP!D35=0,0,SUMP!D9/SUMP!D35))</f>
        <v>0</v>
      </c>
    </row>
    <row r="48" spans="1:6" x14ac:dyDescent="0.35">
      <c r="A48" s="42" t="str">
        <f>IF(Phases!K16 = "Y",Phases!B16,"")</f>
        <v>Code Review</v>
      </c>
      <c r="B48" s="41"/>
      <c r="D48" s="60">
        <f>IF(SUMP!B37=0,0,SUMP!B15/SUMP!B37)</f>
        <v>0</v>
      </c>
      <c r="F48" s="60">
        <f>IF(SUMP!D37=0,0,SUMP!D15/SUMP!D37)</f>
        <v>0</v>
      </c>
    </row>
    <row r="49" spans="1:19" x14ac:dyDescent="0.35">
      <c r="A49" s="42" t="str">
        <f>IF(Phases!K18 = "Y",Phases!B18,"")</f>
        <v>Code Inspection</v>
      </c>
      <c r="B49" s="41"/>
      <c r="D49" s="60">
        <f>IF(SUMP!B39=0,0,SUMP!B15/SUMP!B39)</f>
        <v>0</v>
      </c>
      <c r="F49" s="60">
        <f>IF(SUMP!D39=0,0,SUMP!D15/SUMP!D39)</f>
        <v>0</v>
      </c>
    </row>
    <row r="50" spans="1:19" ht="12.75" customHeight="1" x14ac:dyDescent="0.35">
      <c r="B50" s="41"/>
    </row>
    <row r="51" spans="1:19" x14ac:dyDescent="0.35">
      <c r="A51" s="40" t="s">
        <v>458</v>
      </c>
      <c r="B51" s="41"/>
      <c r="D51" s="60">
        <f>IF((SUMP!B38+SUMP!B40)=0,0,(SUMP!B33+SUMP!B35+SUMP!B37+SUMP!B39)/(SUMP!B38+SUMP!B40))</f>
        <v>0</v>
      </c>
      <c r="F51" s="60">
        <f>IF((SUMP!D38+SUMP!D40)=0,0,(SUMP!D33+SUMP!D35+SUMP!D37+SUMP!D39)/(SUMP!D38+SUMP!D40))</f>
        <v>0</v>
      </c>
    </row>
    <row r="52" spans="1:19" ht="12.75" customHeight="1" x14ac:dyDescent="0.35">
      <c r="B52" s="41"/>
    </row>
    <row r="54" spans="1:19" x14ac:dyDescent="0.35">
      <c r="A54" s="40" t="s">
        <v>273</v>
      </c>
      <c r="D54" s="41" t="s">
        <v>306</v>
      </c>
      <c r="F54" s="41" t="s">
        <v>307</v>
      </c>
      <c r="K54" s="121" t="s">
        <v>459</v>
      </c>
      <c r="L54" s="213"/>
      <c r="M54" s="214"/>
      <c r="N54" s="164"/>
      <c r="O54" s="164"/>
      <c r="P54" s="164"/>
      <c r="Q54" s="164"/>
    </row>
    <row r="55" spans="1:19" x14ac:dyDescent="0.35">
      <c r="A55" s="42" t="str">
        <f>IF(Phases!L4 = "Y",Phases!B4,"")</f>
        <v>Planning</v>
      </c>
      <c r="D55" s="73"/>
      <c r="F55" s="58">
        <f>IF((SUM(SUMP!D$51:D51))=0,0,SUMP!D72/(SUM(SUMP!D$51:D51)))</f>
        <v>0</v>
      </c>
      <c r="K55" s="215" t="str">
        <f>A55</f>
        <v>Planning</v>
      </c>
      <c r="L55" s="216">
        <v>0</v>
      </c>
      <c r="M55" s="214"/>
      <c r="O55" s="164"/>
      <c r="P55" s="164"/>
      <c r="Q55" s="164"/>
    </row>
    <row r="56" spans="1:19" x14ac:dyDescent="0.35">
      <c r="A56" s="42" t="str">
        <f>IF(Phases!L5 = "Y",Phases!B5,"")</f>
        <v>Requirements</v>
      </c>
      <c r="D56" s="73"/>
      <c r="F56" s="58">
        <f>IF((SUM(SUMP!D$51:D52)-SUM(SUMP!D$72:D72))=0,0,SUMP!D73/(SUM(SUMP!D$51:D52)-SUM(SUMP!D$72:D72)))</f>
        <v>0</v>
      </c>
      <c r="K56" s="217" t="str">
        <f t="shared" ref="K56:K69" si="0">A56</f>
        <v>Requirements</v>
      </c>
      <c r="L56" s="218">
        <v>0</v>
      </c>
      <c r="M56" s="219"/>
      <c r="O56" s="164"/>
      <c r="P56" s="164"/>
      <c r="Q56" s="164"/>
    </row>
    <row r="57" spans="1:19" x14ac:dyDescent="0.35">
      <c r="A57" s="42" t="str">
        <f>IF(Phases!L6 = "Y",Phases!B6,"")</f>
        <v>System Test Plan</v>
      </c>
      <c r="D57" s="73"/>
      <c r="F57" s="58">
        <f>IF((SUM(SUMP!D$51:D53)-SUM(SUMP!D$72:D73))=0,0,SUMP!D74/(SUM(SUMP!D$51:D53)-SUM(SUMP!D$72:D73)))</f>
        <v>0</v>
      </c>
      <c r="K57" s="217" t="str">
        <f t="shared" si="0"/>
        <v>System Test Plan</v>
      </c>
      <c r="L57" s="218">
        <v>0</v>
      </c>
      <c r="M57" s="219"/>
      <c r="O57" s="164"/>
      <c r="P57" s="164"/>
      <c r="Q57" s="164"/>
    </row>
    <row r="58" spans="1:19" x14ac:dyDescent="0.35">
      <c r="A58" s="42" t="str">
        <f>IF(Phases!L7 = "Y",Phases!B7,"")</f>
        <v>REQ Inspection</v>
      </c>
      <c r="D58" s="73"/>
      <c r="F58" s="58">
        <f>IF((SUM(SUMP!D$51:D54)-SUM(SUMP!D$72:D74))=0,0,SUMP!D75/(SUM(SUMP!D$51:D54)-SUM(SUMP!D$72:D74)))</f>
        <v>0</v>
      </c>
      <c r="K58" s="217" t="str">
        <f t="shared" si="0"/>
        <v>REQ Inspection</v>
      </c>
      <c r="L58" s="220">
        <v>0.7</v>
      </c>
      <c r="M58" s="219" t="s">
        <v>276</v>
      </c>
      <c r="P58" s="164"/>
      <c r="Q58" s="164"/>
      <c r="R58" s="57"/>
      <c r="S58" s="36"/>
    </row>
    <row r="59" spans="1:19" x14ac:dyDescent="0.35">
      <c r="A59" s="42" t="str">
        <f>IF(Phases!L8 = "Y",Phases!B8,"")</f>
        <v>High-Level Design</v>
      </c>
      <c r="D59" s="73"/>
      <c r="F59" s="58">
        <f>IF((SUM(SUMP!D$51:D55)-SUM(SUMP!D$72:D75))=0,0,SUMP!D76/(SUM(SUMP!D$51:D55)-SUM(SUMP!D$72:D75)))</f>
        <v>0</v>
      </c>
      <c r="K59" s="217" t="str">
        <f t="shared" si="0"/>
        <v>High-Level Design</v>
      </c>
      <c r="L59" s="218">
        <v>0</v>
      </c>
      <c r="M59" s="219"/>
      <c r="P59" s="164"/>
      <c r="Q59" s="164"/>
      <c r="R59" s="57"/>
      <c r="S59" s="36"/>
    </row>
    <row r="60" spans="1:19" x14ac:dyDescent="0.35">
      <c r="A60" s="42" t="str">
        <f>IF(Phases!L9 = "Y",Phases!B9,"")</f>
        <v>Integration Test Plan</v>
      </c>
      <c r="D60" s="73"/>
      <c r="F60" s="58">
        <f>IF((SUM(SUMP!D$51:D56)-SUM(SUMP!D$72:D76))=0,0,SUMP!D77/(SUM(SUMP!D$51:D56)-SUM(SUMP!D$72:D76)))</f>
        <v>0</v>
      </c>
      <c r="K60" s="217" t="str">
        <f t="shared" si="0"/>
        <v>Integration Test Plan</v>
      </c>
      <c r="L60" s="218">
        <v>0</v>
      </c>
      <c r="M60" s="219"/>
      <c r="P60" s="164"/>
      <c r="Q60" s="164"/>
      <c r="R60" s="57"/>
      <c r="S60" s="36"/>
    </row>
    <row r="61" spans="1:19" x14ac:dyDescent="0.35">
      <c r="A61" s="42" t="str">
        <f>IF(Phases!L10 = "Y",Phases!B10,"")</f>
        <v>HLD Inspection</v>
      </c>
      <c r="D61" s="73"/>
      <c r="F61" s="58">
        <f>IF((SUM(SUMP!D$51:D57)-SUM(SUMP!D$72:D77))=0,0,SUMP!D78/(SUM(SUMP!D$51:D57)-SUM(SUMP!D$72:D77)))</f>
        <v>0</v>
      </c>
      <c r="K61" s="217" t="str">
        <f t="shared" si="0"/>
        <v>HLD Inspection</v>
      </c>
      <c r="L61" s="220">
        <v>0.7</v>
      </c>
      <c r="M61" s="219" t="s">
        <v>278</v>
      </c>
      <c r="P61" s="164"/>
      <c r="Q61" s="164"/>
      <c r="R61" s="57"/>
      <c r="S61" s="36"/>
    </row>
    <row r="62" spans="1:19" x14ac:dyDescent="0.35">
      <c r="A62" s="42" t="str">
        <f>IF(Phases!L11 = "Y",Phases!B11,"")</f>
        <v>Detailed Design</v>
      </c>
      <c r="D62" s="73"/>
      <c r="F62" s="58">
        <f>IF((SUM(SUMP!D$51:D58)-SUM(SUMP!D$72:D78))=0,0,SUMP!D79/(SUM(SUMP!D$51:D58)-SUM(SUMP!D$72:D78)))</f>
        <v>0</v>
      </c>
      <c r="K62" s="217" t="str">
        <f t="shared" si="0"/>
        <v>Detailed Design</v>
      </c>
      <c r="L62" s="218">
        <v>0</v>
      </c>
      <c r="M62" s="219"/>
      <c r="P62" s="164"/>
      <c r="Q62" s="164"/>
      <c r="R62" s="57"/>
      <c r="S62" s="36"/>
    </row>
    <row r="63" spans="1:19" x14ac:dyDescent="0.35">
      <c r="A63" s="42" t="str">
        <f>IF(Phases!L12 = "Y",Phases!B12,"")</f>
        <v>DLD Review</v>
      </c>
      <c r="D63" s="73"/>
      <c r="F63" s="58">
        <f>IF((SUM(SUMP!D$51:D59)-SUM(SUMP!D$72:D79))=0,0,SUMP!D80/(SUM(SUMP!D$51:D59)-SUM(SUMP!D$72:D79)))</f>
        <v>0</v>
      </c>
      <c r="K63" s="217" t="str">
        <f t="shared" si="0"/>
        <v>DLD Review</v>
      </c>
      <c r="L63" s="220">
        <v>0.7</v>
      </c>
      <c r="M63" s="219" t="s">
        <v>278</v>
      </c>
      <c r="P63" s="164"/>
      <c r="Q63" s="164"/>
      <c r="R63" s="57"/>
      <c r="S63" s="36"/>
    </row>
    <row r="64" spans="1:19" x14ac:dyDescent="0.35">
      <c r="A64" s="42" t="str">
        <f>IF(Phases!L13 = "Y",Phases!B13,"")</f>
        <v>Test Development</v>
      </c>
      <c r="D64" s="73"/>
      <c r="F64" s="58">
        <f>IF((SUM(SUMP!D$51:D60)-SUM(SUMP!D$72:D80))=0,0,SUMP!D81/(SUM(SUMP!D$51:D60)-SUM(SUMP!D$72:D80)))</f>
        <v>0</v>
      </c>
      <c r="K64" s="217" t="str">
        <f t="shared" si="0"/>
        <v>Test Development</v>
      </c>
      <c r="L64" s="218">
        <v>0</v>
      </c>
      <c r="M64" s="219"/>
      <c r="P64" s="164"/>
      <c r="Q64" s="164"/>
      <c r="R64" s="57"/>
      <c r="S64" s="36"/>
    </row>
    <row r="65" spans="1:19" x14ac:dyDescent="0.35">
      <c r="A65" s="42" t="str">
        <f>IF(Phases!L14 = "Y",Phases!B14,"")</f>
        <v>DLD Inspection</v>
      </c>
      <c r="D65" s="73"/>
      <c r="F65" s="58">
        <f>IF((SUM(SUMP!D$51:D61)-SUM(SUMP!D$72:D81))=0,0,SUMP!D82/(SUM(SUMP!D$51:D61)-SUM(SUMP!D$72:D81)))</f>
        <v>0</v>
      </c>
      <c r="K65" s="217" t="str">
        <f t="shared" si="0"/>
        <v>DLD Inspection</v>
      </c>
      <c r="L65" s="220">
        <v>0.7</v>
      </c>
      <c r="M65" s="219" t="s">
        <v>278</v>
      </c>
      <c r="P65" s="164"/>
      <c r="Q65" s="164"/>
      <c r="R65" s="57"/>
      <c r="S65" s="36"/>
    </row>
    <row r="66" spans="1:19" x14ac:dyDescent="0.35">
      <c r="A66" s="42" t="str">
        <f>IF(Phases!L15 = "Y",Phases!B15,"")</f>
        <v>Code</v>
      </c>
      <c r="D66" s="73"/>
      <c r="F66" s="58">
        <f>IF((SUM(SUMP!D$51:D62)-SUM(SUMP!D$72:D82))=0,0,SUMP!D83/(SUM(SUMP!D$51:D62)-SUM(SUMP!D$72:D82)))</f>
        <v>0</v>
      </c>
      <c r="K66" s="217" t="str">
        <f t="shared" si="0"/>
        <v>Code</v>
      </c>
      <c r="L66" s="218">
        <v>0</v>
      </c>
      <c r="M66" s="219"/>
      <c r="P66" s="164"/>
      <c r="Q66" s="164"/>
    </row>
    <row r="67" spans="1:19" x14ac:dyDescent="0.35">
      <c r="A67" s="42" t="str">
        <f>IF(Phases!L16 = "Y",Phases!B16,"")</f>
        <v>Code Review</v>
      </c>
      <c r="D67" s="73"/>
      <c r="F67" s="58">
        <f>IF((SUM(SUMP!D$51:D63)-SUM(SUMP!D$72:D83))=0,0,SUMP!D84/(SUM(SUMP!D$51:D63)-SUM(SUMP!D$72:D83)))</f>
        <v>0</v>
      </c>
      <c r="K67" s="217" t="str">
        <f t="shared" si="0"/>
        <v>Code Review</v>
      </c>
      <c r="L67" s="220">
        <v>0.7</v>
      </c>
      <c r="M67" s="219" t="s">
        <v>280</v>
      </c>
      <c r="P67" s="164"/>
      <c r="Q67" s="164"/>
    </row>
    <row r="68" spans="1:19" x14ac:dyDescent="0.35">
      <c r="A68" s="42" t="str">
        <f>IF(Phases!L17 = "Y",Phases!B17,"")</f>
        <v>Compile</v>
      </c>
      <c r="D68" s="73"/>
      <c r="F68" s="58">
        <f>IF((SUM(SUMP!D$51:D64)-SUM(SUMP!D$72:D84))=0,0,SUMP!D85/(SUM(SUMP!D$51:D64)-SUM(SUMP!D$72:D84)))</f>
        <v>0</v>
      </c>
      <c r="K68" s="217" t="str">
        <f t="shared" si="0"/>
        <v>Compile</v>
      </c>
      <c r="L68" s="220">
        <v>0.5</v>
      </c>
      <c r="M68" s="219" t="s">
        <v>283</v>
      </c>
      <c r="P68" s="164"/>
      <c r="Q68" s="164"/>
    </row>
    <row r="69" spans="1:19" x14ac:dyDescent="0.35">
      <c r="A69" s="42" t="str">
        <f>IF(Phases!L18 = "Y",Phases!B18,"")</f>
        <v>Code Inspection</v>
      </c>
      <c r="D69" s="73"/>
      <c r="F69" s="58">
        <f>IF((SUM(SUMP!D$51:D65)-SUM(SUMP!D$72:D85))=0,0,SUMP!D86/(SUM(SUMP!D$51:D65)-SUM(SUMP!D$72:D85)))</f>
        <v>0</v>
      </c>
      <c r="K69" s="217" t="str">
        <f t="shared" si="0"/>
        <v>Code Inspection</v>
      </c>
      <c r="L69" s="218">
        <v>0.7</v>
      </c>
      <c r="M69" s="219"/>
      <c r="P69" s="164"/>
      <c r="Q69" s="164"/>
    </row>
    <row r="70" spans="1:19" x14ac:dyDescent="0.35">
      <c r="A70" s="42" t="str">
        <f>IF(Phases!L19 = "Y",Phases!B19,"")</f>
        <v>Unit Test</v>
      </c>
      <c r="D70" s="73"/>
      <c r="F70" s="58">
        <f>IF((SUM(SUMP!D$51:D66)-SUM(SUMP!D$72:D86))=0,0,SUMP!D87/(SUM(SUMP!D$51:D66)-SUM(SUMP!D$72:D86)))</f>
        <v>0</v>
      </c>
      <c r="K70" s="217" t="s">
        <v>460</v>
      </c>
      <c r="L70" s="220">
        <v>0.9</v>
      </c>
      <c r="M70" s="219" t="s">
        <v>286</v>
      </c>
      <c r="P70" s="164"/>
      <c r="Q70" s="164"/>
    </row>
    <row r="71" spans="1:19" x14ac:dyDescent="0.35">
      <c r="A71" s="42" t="str">
        <f>IF(Phases!L20 = "Y",Phases!B20,"")</f>
        <v>Build and Integration Test</v>
      </c>
      <c r="D71" s="73"/>
      <c r="F71" s="58">
        <f>IF((SUM(SUMP!D$51:D67)-SUM(SUMP!D$72:D87))=0,0,SUMP!D88/(SUM(SUMP!D$51:D67)-SUM(SUMP!D$72:D87)))</f>
        <v>0</v>
      </c>
      <c r="K71" s="217" t="s">
        <v>461</v>
      </c>
      <c r="L71" s="220">
        <v>0.8</v>
      </c>
      <c r="M71" s="219" t="s">
        <v>289</v>
      </c>
      <c r="P71" s="164"/>
      <c r="Q71" s="164"/>
    </row>
    <row r="72" spans="1:19" x14ac:dyDescent="0.35">
      <c r="A72" s="42" t="str">
        <f>IF(Phases!L21 = "Y",Phases!B21,"")</f>
        <v>System Test</v>
      </c>
      <c r="D72" s="73"/>
      <c r="F72" s="58">
        <f>IF((SUM(SUMP!D$51:D68)-SUM(SUMP!D$72:D88))=0,0,SUMP!D89/(SUM(SUMP!D$51:D68)-SUM(SUMP!D$72:D88)))</f>
        <v>0</v>
      </c>
      <c r="K72" s="217" t="s">
        <v>462</v>
      </c>
      <c r="L72" s="220">
        <v>0.8</v>
      </c>
      <c r="M72" s="219" t="s">
        <v>289</v>
      </c>
      <c r="P72" s="164"/>
      <c r="Q72" s="164"/>
    </row>
    <row r="73" spans="1:19" x14ac:dyDescent="0.35">
      <c r="A73" s="42" t="s">
        <v>447</v>
      </c>
      <c r="D73" s="73"/>
      <c r="F73" s="58">
        <f>IF((SUM(SUMP!D$51:D68)-SUM(SUMP!D$72:D89))=0,0,SUMP!D91/(SUM(SUMP!D$51:D68)-SUM(SUMP!D$72:D89)))</f>
        <v>0</v>
      </c>
      <c r="K73" s="221" t="s">
        <v>463</v>
      </c>
      <c r="L73" s="222">
        <v>0.65</v>
      </c>
      <c r="M73" s="223" t="s">
        <v>292</v>
      </c>
    </row>
    <row r="74" spans="1:19" x14ac:dyDescent="0.35">
      <c r="A74" s="40" t="s">
        <v>464</v>
      </c>
      <c r="D74" s="41" t="s">
        <v>306</v>
      </c>
      <c r="F74" s="41" t="s">
        <v>307</v>
      </c>
    </row>
    <row r="75" spans="1:19" x14ac:dyDescent="0.35">
      <c r="A75" s="42" t="str">
        <f>IF(Phases!M17 = "Y","% Before " &amp; Phases!B17,"")</f>
        <v>% Before Compile</v>
      </c>
      <c r="D75" s="58">
        <f>IF(SUM(SUMP!B$51:B63)=0,0,SUM(SUMP!B$72:B84)/SUM(SUMP!B$51:B63))</f>
        <v>0</v>
      </c>
      <c r="F75" s="58">
        <f>IF(SUM(SUMP!D$51:D63)=0,0,SUM(SUMP!D$72:D84)/SUM(SUMP!D$51:D63))</f>
        <v>0</v>
      </c>
    </row>
    <row r="76" spans="1:19" x14ac:dyDescent="0.35">
      <c r="A76" s="42" t="str">
        <f>IF(Phases!M19 = "Y","% Before " &amp; Phases!B19,"")</f>
        <v>% Before Unit Test</v>
      </c>
      <c r="D76" s="58">
        <f>IF(SUM(SUMP!B$51:B65)=0,0,SUM(SUMP!B$72:B86)/SUM(SUMP!B$51:B65))</f>
        <v>0</v>
      </c>
      <c r="F76" s="58">
        <f>IF(SUM(SUMP!D$51:D65)=0,0,SUM(SUMP!D$72:D86)/SUM(SUMP!D$51:D65))</f>
        <v>0</v>
      </c>
    </row>
    <row r="77" spans="1:19" x14ac:dyDescent="0.35">
      <c r="A77" s="42" t="str">
        <f>IF(Phases!M20 = "Y","% Before " &amp; Phases!B20,"")</f>
        <v>% Before Build and Integration Test</v>
      </c>
      <c r="D77" s="58">
        <f>IF(SUM(SUMP!B$51:B66)=0,0,SUM(SUMP!B$72:B87)/SUM(SUMP!B$51:B66))</f>
        <v>0</v>
      </c>
      <c r="F77" s="58">
        <f>IF(SUM(SUMP!D$51:D66)=0,0,SUM(SUMP!D$72:D87)/SUM(SUMP!D$51:D66))</f>
        <v>0</v>
      </c>
    </row>
    <row r="78" spans="1:19" x14ac:dyDescent="0.35">
      <c r="A78" s="42" t="str">
        <f>IF(Phases!M21 = "Y","% Before " &amp; Phases!B21,"")</f>
        <v>% Before System Test</v>
      </c>
      <c r="D78" s="58">
        <f>IF(SUM(SUMP!B$51:B67)=0,0,SUM(SUMP!B$72:B88)/SUM(SUMP!B$51:B67))</f>
        <v>0</v>
      </c>
      <c r="F78" s="58">
        <f>IF(SUM(SUMP!D$51:D67)=0,0,SUM(SUMP!D$72:D88)/SUM(SUMP!D$51:D67))</f>
        <v>0</v>
      </c>
    </row>
    <row r="79" spans="1:19" x14ac:dyDescent="0.35">
      <c r="A79" s="42" t="str">
        <f>IF(Phases!M24 = "Y","% Before " &amp; Phases!B24,"")</f>
        <v>% Before Acceptance Test</v>
      </c>
      <c r="D79" s="58">
        <f>IF(SUMP!B69=0,0,SUMP!B90/SUMP!B69)</f>
        <v>0</v>
      </c>
      <c r="F79" s="58">
        <f>IF(SUMP!D69=0,0,SUMP!D90/SUMP!D69)</f>
        <v>0</v>
      </c>
    </row>
    <row r="80" spans="1:19" x14ac:dyDescent="0.35">
      <c r="A80" s="40"/>
    </row>
    <row r="81" spans="1:20" x14ac:dyDescent="0.35">
      <c r="A81" s="40" t="s">
        <v>465</v>
      </c>
      <c r="D81" s="41" t="s">
        <v>306</v>
      </c>
      <c r="F81" s="41" t="s">
        <v>307</v>
      </c>
      <c r="K81" s="121" t="s">
        <v>466</v>
      </c>
      <c r="L81" s="213"/>
      <c r="M81" s="214"/>
      <c r="N81" s="164"/>
      <c r="O81" s="164"/>
    </row>
    <row r="82" spans="1:20" x14ac:dyDescent="0.35">
      <c r="A82" s="42" t="str">
        <f>IF(Phases!N4="Y",Phases!B4,"")</f>
        <v>Planning</v>
      </c>
      <c r="D82" s="72"/>
      <c r="F82" s="60">
        <f>IF(SUMP!D25=0,0,SUMP!D51/SUMP!D25)</f>
        <v>0</v>
      </c>
      <c r="K82" s="215" t="str">
        <f>A82</f>
        <v>Planning</v>
      </c>
      <c r="L82" s="224">
        <v>0</v>
      </c>
      <c r="M82" s="214"/>
      <c r="P82" s="164"/>
      <c r="Q82" s="164"/>
    </row>
    <row r="83" spans="1:20" x14ac:dyDescent="0.35">
      <c r="A83" s="42" t="str">
        <f>IF(Phases!N5="Y",Phases!B5,"")</f>
        <v>Requirements</v>
      </c>
      <c r="D83" s="72"/>
      <c r="F83" s="60">
        <f>IF(SUMP!D26=0,0,SUMP!D52/SUMP!D26)</f>
        <v>0</v>
      </c>
      <c r="K83" s="217" t="str">
        <f t="shared" ref="K83:K99" si="1">A83</f>
        <v>Requirements</v>
      </c>
      <c r="L83" s="225">
        <v>0.25</v>
      </c>
      <c r="M83" s="219" t="s">
        <v>257</v>
      </c>
      <c r="P83" s="164"/>
      <c r="Q83" s="164"/>
      <c r="S83" s="57"/>
      <c r="T83" s="36"/>
    </row>
    <row r="84" spans="1:20" x14ac:dyDescent="0.35">
      <c r="A84" s="42" t="str">
        <f>IF(Phases!N6="Y",Phases!B6,"")</f>
        <v>System Test Plan</v>
      </c>
      <c r="D84" s="72"/>
      <c r="F84" s="60">
        <f>IF(SUMP!D27=0,0,SUMP!D53/SUMP!D27)</f>
        <v>0</v>
      </c>
      <c r="K84" s="217" t="str">
        <f t="shared" si="1"/>
        <v>System Test Plan</v>
      </c>
      <c r="L84" s="225">
        <v>0</v>
      </c>
      <c r="M84" s="219"/>
      <c r="P84" s="164"/>
      <c r="Q84" s="164"/>
    </row>
    <row r="85" spans="1:20" x14ac:dyDescent="0.35">
      <c r="A85" s="42" t="str">
        <f>IF(Phases!N7="Y",Phases!B7,"")</f>
        <v>REQ Inspection</v>
      </c>
      <c r="D85" s="72"/>
      <c r="F85" s="60">
        <f>IF(SUMP!D28=0,0,SUMP!D54/SUMP!D28)</f>
        <v>0</v>
      </c>
      <c r="K85" s="217" t="str">
        <f t="shared" si="1"/>
        <v>REQ Inspection</v>
      </c>
      <c r="L85" s="225">
        <v>0</v>
      </c>
      <c r="M85" s="219"/>
      <c r="P85" s="164"/>
      <c r="Q85" s="164"/>
    </row>
    <row r="86" spans="1:20" x14ac:dyDescent="0.35">
      <c r="A86" s="42" t="str">
        <f>IF(Phases!N8="Y",Phases!B8,"")</f>
        <v>High-Level Design</v>
      </c>
      <c r="D86" s="72"/>
      <c r="F86" s="60">
        <f>IF(SUMP!D29=0,0,SUMP!D55/SUMP!D29)</f>
        <v>0</v>
      </c>
      <c r="K86" s="217" t="str">
        <f t="shared" si="1"/>
        <v>High-Level Design</v>
      </c>
      <c r="L86" s="225">
        <v>0.25</v>
      </c>
      <c r="M86" s="219" t="s">
        <v>260</v>
      </c>
      <c r="P86" s="164"/>
      <c r="Q86" s="164"/>
    </row>
    <row r="87" spans="1:20" x14ac:dyDescent="0.35">
      <c r="A87" s="42" t="str">
        <f>IF(Phases!N9="Y",Phases!B9,"")</f>
        <v>Integration Test Plan</v>
      </c>
      <c r="D87" s="72"/>
      <c r="F87" s="60">
        <f>IF(SUMP!D30=0,0,SUMP!D56/SUMP!D30)</f>
        <v>0</v>
      </c>
      <c r="K87" s="217" t="str">
        <f t="shared" si="1"/>
        <v>Integration Test Plan</v>
      </c>
      <c r="L87" s="225">
        <v>0</v>
      </c>
      <c r="M87" s="219"/>
      <c r="P87" s="164"/>
      <c r="Q87" s="164"/>
    </row>
    <row r="88" spans="1:20" x14ac:dyDescent="0.35">
      <c r="A88" s="42" t="str">
        <f>IF(Phases!N10="Y",Phases!B10,"")</f>
        <v>HLD Inspection</v>
      </c>
      <c r="D88" s="72"/>
      <c r="F88" s="60">
        <f>IF(SUMP!D31=0,0,SUMP!D57/SUMP!D31)</f>
        <v>0</v>
      </c>
      <c r="K88" s="217" t="str">
        <f t="shared" si="1"/>
        <v>HLD Inspection</v>
      </c>
      <c r="L88" s="225">
        <v>0</v>
      </c>
      <c r="M88" s="219"/>
      <c r="P88" s="164"/>
      <c r="Q88" s="164"/>
    </row>
    <row r="89" spans="1:20" x14ac:dyDescent="0.35">
      <c r="A89" s="42" t="str">
        <f>IF(Phases!N11="Y",Phases!B11,"")</f>
        <v>Detailed Design</v>
      </c>
      <c r="D89" s="72"/>
      <c r="F89" s="60">
        <f>IF(SUMP!D32=0,0,SUMP!D58/SUMP!D32)</f>
        <v>0</v>
      </c>
      <c r="K89" s="217" t="str">
        <f t="shared" si="1"/>
        <v>Detailed Design</v>
      </c>
      <c r="L89" s="225">
        <v>0.75</v>
      </c>
      <c r="M89" s="219" t="s">
        <v>263</v>
      </c>
      <c r="P89" s="164"/>
      <c r="Q89" s="164"/>
    </row>
    <row r="90" spans="1:20" x14ac:dyDescent="0.35">
      <c r="A90" s="42" t="str">
        <f>IF(Phases!N12="Y",Phases!B12,"")</f>
        <v>DLD Review</v>
      </c>
      <c r="D90" s="72"/>
      <c r="F90" s="60">
        <f>IF(SUMP!D33=0,0,SUMP!D59/SUMP!D33)</f>
        <v>0</v>
      </c>
      <c r="K90" s="217" t="str">
        <f t="shared" si="1"/>
        <v>DLD Review</v>
      </c>
      <c r="L90" s="225">
        <v>0</v>
      </c>
      <c r="M90" s="219"/>
      <c r="P90" s="164"/>
      <c r="Q90" s="164"/>
    </row>
    <row r="91" spans="1:20" x14ac:dyDescent="0.35">
      <c r="A91" s="42" t="str">
        <f>IF(Phases!N13="Y",Phases!B13,"")</f>
        <v>Test Development</v>
      </c>
      <c r="D91" s="72"/>
      <c r="F91" s="60">
        <f>IF(SUMP!D34=0,0,SUMP!D60/SUMP!D34)</f>
        <v>0</v>
      </c>
      <c r="K91" s="217" t="str">
        <f t="shared" si="1"/>
        <v>Test Development</v>
      </c>
      <c r="L91" s="225">
        <v>0</v>
      </c>
      <c r="M91" s="219"/>
      <c r="P91" s="164"/>
      <c r="Q91" s="164"/>
    </row>
    <row r="92" spans="1:20" x14ac:dyDescent="0.35">
      <c r="A92" s="42" t="str">
        <f>IF(Phases!N14="Y",Phases!B14,"")</f>
        <v>DLD Inspection</v>
      </c>
      <c r="D92" s="72"/>
      <c r="F92" s="60">
        <f>IF(SUMP!D35=0,0,SUMP!D61/SUMP!D35)</f>
        <v>0</v>
      </c>
      <c r="K92" s="217" t="str">
        <f t="shared" si="1"/>
        <v>DLD Inspection</v>
      </c>
      <c r="L92" s="225">
        <v>0</v>
      </c>
      <c r="M92" s="219"/>
      <c r="P92" s="164"/>
      <c r="Q92" s="164"/>
    </row>
    <row r="93" spans="1:20" x14ac:dyDescent="0.35">
      <c r="A93" s="42" t="str">
        <f>IF(Phases!N15="Y",Phases!B15,"")</f>
        <v>Code</v>
      </c>
      <c r="D93" s="72"/>
      <c r="F93" s="60">
        <f>IF(SUMP!D36=0,0,SUMP!D62/SUMP!D36)</f>
        <v>0</v>
      </c>
      <c r="K93" s="217" t="str">
        <f t="shared" si="1"/>
        <v>Code</v>
      </c>
      <c r="L93" s="225">
        <v>2</v>
      </c>
      <c r="M93" s="219" t="s">
        <v>223</v>
      </c>
      <c r="P93" s="164"/>
      <c r="Q93" s="164"/>
    </row>
    <row r="94" spans="1:20" x14ac:dyDescent="0.35">
      <c r="A94" s="42" t="str">
        <f>IF(Phases!N16="Y",Phases!B16,"")</f>
        <v>Code Review</v>
      </c>
      <c r="D94" s="72"/>
      <c r="F94" s="60">
        <f>IF(SUMP!D37=0,0,SUMP!D63/SUMP!D37)</f>
        <v>0</v>
      </c>
      <c r="K94" s="217" t="str">
        <f t="shared" si="1"/>
        <v>Code Review</v>
      </c>
      <c r="L94" s="225">
        <v>0</v>
      </c>
      <c r="M94" s="219"/>
      <c r="P94" s="164"/>
      <c r="Q94" s="164"/>
    </row>
    <row r="95" spans="1:20" x14ac:dyDescent="0.35">
      <c r="A95" s="42" t="str">
        <f>IF(Phases!N17="Y",Phases!B17,"")</f>
        <v>Compile</v>
      </c>
      <c r="D95" s="72"/>
      <c r="F95" s="60">
        <f>IF(SUMP!D38=0,0,SUMP!D64/SUMP!D38)</f>
        <v>0</v>
      </c>
      <c r="K95" s="217" t="str">
        <f t="shared" si="1"/>
        <v>Compile</v>
      </c>
      <c r="L95" s="225">
        <v>0.3</v>
      </c>
      <c r="M95" s="219" t="s">
        <v>270</v>
      </c>
      <c r="P95" s="164"/>
      <c r="Q95" s="164"/>
    </row>
    <row r="96" spans="1:20" x14ac:dyDescent="0.35">
      <c r="A96" s="42" t="str">
        <f>IF(Phases!N18="Y",Phases!B18,"")</f>
        <v>Code Inspection</v>
      </c>
      <c r="D96" s="72"/>
      <c r="F96" s="60">
        <f>IF(SUMP!D39=0,0,SUMP!D65/SUMP!D39)</f>
        <v>0</v>
      </c>
      <c r="K96" s="217" t="str">
        <f t="shared" si="1"/>
        <v>Code Inspection</v>
      </c>
      <c r="L96" s="225">
        <v>0</v>
      </c>
      <c r="M96" s="219"/>
      <c r="P96" s="164"/>
      <c r="Q96" s="164"/>
    </row>
    <row r="97" spans="1:17" x14ac:dyDescent="0.35">
      <c r="A97" s="42" t="str">
        <f>IF(Phases!N19="Y",Phases!B19,"")</f>
        <v>Unit Test</v>
      </c>
      <c r="D97" s="72"/>
      <c r="F97" s="60">
        <f>IF(SUMP!D40=0,0,SUMP!D66/SUMP!D40)</f>
        <v>0</v>
      </c>
      <c r="K97" s="217" t="str">
        <f t="shared" si="1"/>
        <v>Unit Test</v>
      </c>
      <c r="L97" s="225">
        <v>6.7000000000000004E-2</v>
      </c>
      <c r="M97" s="219" t="s">
        <v>270</v>
      </c>
      <c r="P97" s="164"/>
      <c r="Q97" s="164"/>
    </row>
    <row r="98" spans="1:17" x14ac:dyDescent="0.35">
      <c r="A98" s="42" t="str">
        <f>IF(Phases!N20="Y",Phases!B20,"")</f>
        <v>Build and Integration Test</v>
      </c>
      <c r="D98" s="72"/>
      <c r="F98" s="60">
        <f>IF(SUMP!D41=0,0,SUMP!D67/SUMP!D41)</f>
        <v>0</v>
      </c>
      <c r="K98" s="217" t="str">
        <f t="shared" si="1"/>
        <v>Build and Integration Test</v>
      </c>
      <c r="L98" s="225">
        <v>0</v>
      </c>
      <c r="M98" s="219"/>
      <c r="P98" s="164"/>
      <c r="Q98" s="164"/>
    </row>
    <row r="99" spans="1:17" x14ac:dyDescent="0.35">
      <c r="A99" s="42" t="str">
        <f>IF(Phases!N21="Y",Phases!B21,"")</f>
        <v>System Test</v>
      </c>
      <c r="D99" s="72"/>
      <c r="F99" s="60">
        <f>IF(SUMP!D42=0,0,SUMP!D68/SUMP!D42)</f>
        <v>0</v>
      </c>
      <c r="K99" s="221" t="str">
        <f t="shared" si="1"/>
        <v>System Test</v>
      </c>
      <c r="L99" s="226">
        <v>0</v>
      </c>
      <c r="M99" s="223"/>
      <c r="P99" s="164"/>
      <c r="Q99" s="164"/>
    </row>
    <row r="101" spans="1:17" x14ac:dyDescent="0.35">
      <c r="A101" s="40" t="s">
        <v>467</v>
      </c>
      <c r="D101" s="41" t="s">
        <v>306</v>
      </c>
      <c r="F101" s="41" t="s">
        <v>307</v>
      </c>
      <c r="L101" s="36"/>
    </row>
    <row r="102" spans="1:17" x14ac:dyDescent="0.35">
      <c r="A102" s="42" t="str">
        <f>IF(Phases!O4="Y",Phases!B4,"")</f>
        <v>Planning</v>
      </c>
      <c r="D102" s="60">
        <f>IF(SUMP!B25=0,0,SUMP!B72/SUMP!B25)</f>
        <v>0</v>
      </c>
      <c r="F102" s="60">
        <f>IF(SUMP!D25=0,0,SUMP!D72/SUMP!D25)</f>
        <v>0</v>
      </c>
      <c r="L102" s="36"/>
    </row>
    <row r="103" spans="1:17" x14ac:dyDescent="0.35">
      <c r="A103" s="42" t="str">
        <f>IF(Phases!O5="Y",Phases!B5,"")</f>
        <v>Requirements</v>
      </c>
      <c r="D103" s="60">
        <f>IF(SUMP!B26=0,0,SUMP!B73/SUMP!B26)</f>
        <v>0</v>
      </c>
      <c r="F103" s="60">
        <f>IF(SUMP!D26=0,0,SUMP!D73/SUMP!D26)</f>
        <v>0</v>
      </c>
      <c r="L103" s="36"/>
    </row>
    <row r="104" spans="1:17" x14ac:dyDescent="0.35">
      <c r="A104" s="42" t="str">
        <f>IF(Phases!O6="Y",Phases!B6,"")</f>
        <v>System Test Plan</v>
      </c>
      <c r="D104" s="60">
        <f>IF(SUMP!B27=0,0,SUMP!B74/SUMP!B27)</f>
        <v>0</v>
      </c>
      <c r="F104" s="60">
        <f>IF(SUMP!D27=0,0,SUMP!D74/SUMP!D27)</f>
        <v>0</v>
      </c>
      <c r="L104" s="36"/>
    </row>
    <row r="105" spans="1:17" x14ac:dyDescent="0.35">
      <c r="A105" s="42" t="str">
        <f>IF(Phases!O7="Y",Phases!B7,"")</f>
        <v>REQ Inspection</v>
      </c>
      <c r="D105" s="60">
        <f>IF(SUMP!B28=0,0,SUMP!B75/SUMP!B28)</f>
        <v>0</v>
      </c>
      <c r="F105" s="60">
        <f>IF(SUMP!D28=0,0,SUMP!D75/SUMP!D28)</f>
        <v>0</v>
      </c>
      <c r="L105" s="36"/>
    </row>
    <row r="106" spans="1:17" x14ac:dyDescent="0.35">
      <c r="A106" s="42" t="str">
        <f>IF(Phases!O8="Y",Phases!B8,"")</f>
        <v>High-Level Design</v>
      </c>
      <c r="D106" s="60">
        <f>IF(SUMP!B29=0,0,SUMP!B76/SUMP!B29)</f>
        <v>0</v>
      </c>
      <c r="F106" s="60">
        <f>IF(SUMP!D29=0,0,SUMP!D76/SUMP!D29)</f>
        <v>0</v>
      </c>
      <c r="L106" s="36"/>
    </row>
    <row r="107" spans="1:17" x14ac:dyDescent="0.35">
      <c r="A107" s="42" t="str">
        <f>IF(Phases!O9="Y",Phases!B9,"")</f>
        <v>Integration Test Plan</v>
      </c>
      <c r="D107" s="60">
        <f>IF(SUMP!B30=0,0,SUMP!B77/SUMP!B30)</f>
        <v>0</v>
      </c>
      <c r="F107" s="60">
        <f>IF(SUMP!D30=0,0,SUMP!D77/SUMP!D30)</f>
        <v>0</v>
      </c>
      <c r="L107" s="36"/>
    </row>
    <row r="108" spans="1:17" x14ac:dyDescent="0.35">
      <c r="A108" s="42" t="str">
        <f>IF(Phases!O10="Y",Phases!B10,"")</f>
        <v>HLD Inspection</v>
      </c>
      <c r="D108" s="60">
        <f>IF(SUMP!B31=0,0,SUMP!B78/SUMP!B31)</f>
        <v>0</v>
      </c>
      <c r="F108" s="60">
        <f>IF(SUMP!D31=0,0,SUMP!D78/SUMP!D31)</f>
        <v>0</v>
      </c>
      <c r="L108" s="36"/>
    </row>
    <row r="109" spans="1:17" x14ac:dyDescent="0.35">
      <c r="A109" s="42" t="str">
        <f>IF(Phases!O11="Y",Phases!B11,"")</f>
        <v>Detailed Design</v>
      </c>
      <c r="D109" s="60">
        <f>IF(SUMP!B32=0,0,SUMP!B79/SUMP!B32)</f>
        <v>0</v>
      </c>
      <c r="F109" s="60">
        <f>IF(SUMP!D32=0,0,SUMP!D79/SUMP!D32)</f>
        <v>0</v>
      </c>
      <c r="L109" s="36"/>
    </row>
    <row r="110" spans="1:17" x14ac:dyDescent="0.35">
      <c r="A110" s="42" t="str">
        <f>IF(Phases!O12="Y",Phases!B12,"")</f>
        <v>DLD Review</v>
      </c>
      <c r="D110" s="60">
        <f>IF(SUMP!B33=0,0,SUMP!B80/SUMP!B33)</f>
        <v>0</v>
      </c>
      <c r="F110" s="60">
        <f>IF(SUMP!D33=0,0,SUMP!D80/SUMP!D33)</f>
        <v>0</v>
      </c>
      <c r="L110" s="36"/>
    </row>
    <row r="111" spans="1:17" x14ac:dyDescent="0.35">
      <c r="A111" s="42" t="str">
        <f>IF(Phases!O13="Y",Phases!B13,"")</f>
        <v>Test Development</v>
      </c>
      <c r="D111" s="60">
        <f>IF(SUMP!B34=0,0,SUMP!B81/SUMP!B34)</f>
        <v>0</v>
      </c>
      <c r="F111" s="60">
        <f>IF(SUMP!D34=0,0,SUMP!D81/SUMP!D34)</f>
        <v>0</v>
      </c>
      <c r="L111" s="36"/>
    </row>
    <row r="112" spans="1:17" x14ac:dyDescent="0.35">
      <c r="A112" s="42" t="str">
        <f>IF(Phases!O14="Y",Phases!B14,"")</f>
        <v>DLD Inspection</v>
      </c>
      <c r="D112" s="60">
        <f>IF(SUMP!B35=0,0,SUMP!B82/SUMP!B35)</f>
        <v>0</v>
      </c>
      <c r="F112" s="60">
        <f>IF(SUMP!D35=0,0,SUMP!D82/SUMP!D35)</f>
        <v>0</v>
      </c>
      <c r="L112" s="36"/>
    </row>
    <row r="113" spans="1:12" x14ac:dyDescent="0.35">
      <c r="A113" s="42" t="str">
        <f>IF(Phases!O15="Y",Phases!B15,"")</f>
        <v>Code</v>
      </c>
      <c r="D113" s="60">
        <f>IF(SUMP!B36=0,0,SUMP!B83/SUMP!B36)</f>
        <v>0</v>
      </c>
      <c r="F113" s="60">
        <f>IF(SUMP!D36=0,0,SUMP!D83/SUMP!D36)</f>
        <v>0</v>
      </c>
      <c r="L113" s="36"/>
    </row>
    <row r="114" spans="1:12" x14ac:dyDescent="0.35">
      <c r="A114" s="42" t="str">
        <f>IF(Phases!O16="Y",Phases!B16,"")</f>
        <v>Code Review</v>
      </c>
      <c r="D114" s="60">
        <f>IF(SUMP!B37=0,0,SUMP!B84/SUMP!B37)</f>
        <v>0</v>
      </c>
      <c r="F114" s="60">
        <f>IF(SUMP!D37=0,0,SUMP!D84/SUMP!D37)</f>
        <v>0</v>
      </c>
      <c r="L114" s="36"/>
    </row>
    <row r="115" spans="1:12" x14ac:dyDescent="0.35">
      <c r="A115" s="42" t="str">
        <f>IF(Phases!O17="Y",Phases!B17,"")</f>
        <v>Compile</v>
      </c>
      <c r="D115" s="60">
        <f>IF(SUMP!B38=0,0,SUMP!B85/SUMP!B38)</f>
        <v>0</v>
      </c>
      <c r="F115" s="60">
        <f>IF(SUMP!D38=0,0,SUMP!D85/SUMP!D38)</f>
        <v>0</v>
      </c>
      <c r="L115" s="36"/>
    </row>
    <row r="116" spans="1:12" x14ac:dyDescent="0.35">
      <c r="A116" s="42" t="str">
        <f>IF(Phases!O18="Y",Phases!B18,"")</f>
        <v>Code Inspection</v>
      </c>
      <c r="D116" s="60">
        <f>IF(SUMP!B39=0,0,SUMP!B86/SUMP!B39)</f>
        <v>0</v>
      </c>
      <c r="F116" s="60">
        <f>IF(SUMP!D39=0,0,SUMP!D86/SUMP!D39)</f>
        <v>0</v>
      </c>
      <c r="L116" s="36"/>
    </row>
    <row r="117" spans="1:12" x14ac:dyDescent="0.35">
      <c r="A117" s="42" t="str">
        <f>IF(Phases!O19="Y",Phases!B19,"")</f>
        <v>Unit Test</v>
      </c>
      <c r="D117" s="60">
        <f>IF(SUMP!B40=0,0,SUMP!B87/SUMP!B40)</f>
        <v>0</v>
      </c>
      <c r="F117" s="60">
        <f>IF(SUMP!D40=0,0,SUMP!D87/SUMP!D40)</f>
        <v>0</v>
      </c>
      <c r="L117" s="36"/>
    </row>
    <row r="118" spans="1:12" x14ac:dyDescent="0.35">
      <c r="A118" s="42" t="str">
        <f>IF(Phases!O20="Y",Phases!B20,"")</f>
        <v>Build and Integration Test</v>
      </c>
      <c r="D118" s="60">
        <f>IF(SUMP!B41=0,0,SUMP!B88/SUMP!B41)</f>
        <v>0</v>
      </c>
      <c r="F118" s="60">
        <f>IF(SUMP!D41=0,0,SUMP!D88/SUMP!D41)</f>
        <v>0</v>
      </c>
      <c r="L118" s="36"/>
    </row>
    <row r="119" spans="1:12" x14ac:dyDescent="0.35">
      <c r="A119" s="42" t="str">
        <f>IF(Phases!O21="Y",Phases!B21,"")</f>
        <v>System Test</v>
      </c>
      <c r="D119" s="60">
        <f>IF(SUMP!B42=0,0,SUMP!B89/SUMP!B42)</f>
        <v>0</v>
      </c>
      <c r="F119" s="60">
        <f>IF(SUMP!D42=0,0,SUMP!D89/SUMP!D42)</f>
        <v>0</v>
      </c>
      <c r="L119" s="36"/>
    </row>
    <row r="120" spans="1:12" x14ac:dyDescent="0.35">
      <c r="L120" s="36"/>
    </row>
    <row r="121" spans="1:12" x14ac:dyDescent="0.35">
      <c r="L121" s="36"/>
    </row>
    <row r="122" spans="1:12" x14ac:dyDescent="0.35">
      <c r="L122" s="36"/>
    </row>
    <row r="123" spans="1:12" x14ac:dyDescent="0.35">
      <c r="L123" s="36"/>
    </row>
    <row r="124" spans="1:12" x14ac:dyDescent="0.35">
      <c r="L124" s="36"/>
    </row>
  </sheetData>
  <sheetProtection sheet="1" objects="1" scenarios="1"/>
  <mergeCells count="3">
    <mergeCell ref="B2:F2"/>
    <mergeCell ref="B3:F3"/>
    <mergeCell ref="B4:F4"/>
  </mergeCells>
  <phoneticPr fontId="2" type="noConversion"/>
  <dataValidations count="3">
    <dataValidation allowBlank="1" showInputMessage="1" showErrorMessage="1" promptTitle="Planned Phase Yields" prompt="Enter the planned yield for each phase. See the phase yield table to the right for planning guidelines." sqref="D54" xr:uid="{FCC06488-32F1-4B62-A4BB-FBB36B34B975}"/>
    <dataValidation allowBlank="1" showInputMessage="1" showErrorMessage="1" promptTitle="Assembly" prompt="Select SYSTEM or the assembly to view." sqref="A4" xr:uid="{62D5B5DA-9115-4C7D-BF38-2DD77CE6A6DE}"/>
    <dataValidation allowBlank="1" showInputMessage="1" showErrorMessage="1" promptTitle="Planned Defect Injection Rates" prompt="Enter the planned defect injection rate for each phase. See the table to the right for defect injection rate planning guidelines." sqref="D81" xr:uid="{63C22D89-33BE-4CFD-B95A-9AEC72385CA6}"/>
  </dataValidations>
  <pageMargins left="0.75" right="0.75" top="0.5" bottom="0.5" header="0.5" footer="0.5"/>
  <pageSetup orientation="portrait"/>
  <headerFooter alignWithMargins="0">
    <oddFooter>&amp;L File: &amp;F ! &amp;A&amp;R&amp;D  &amp;P of &amp;N</oddFooter>
  </headerFooter>
  <rowBreaks count="2" manualBreakCount="2">
    <brk id="53" max="9" man="1"/>
    <brk id="100" max="9" man="1"/>
  </rowBreaks>
  <drawing r:id="rId1"/>
  <legacyDrawing r:id="rId2"/>
  <mc:AlternateContent xmlns:mc="http://schemas.openxmlformats.org/markup-compatibility/2006">
    <mc:Choice Requires="x14">
      <controls>
        <mc:AlternateContent xmlns:mc="http://schemas.openxmlformats.org/markup-compatibility/2006">
          <mc:Choice Requires="x14">
            <control shapeId="57349" r:id="rId3" name="assemblyDropDown">
              <controlPr defaultSize="0" autoLine="0" autoPict="0" macro="[0]!SUMQ.assemblyDropDownChange">
                <anchor moveWithCells="1">
                  <from>
                    <xdr:col>0</xdr:col>
                    <xdr:colOff>2176463</xdr:colOff>
                    <xdr:row>3</xdr:row>
                    <xdr:rowOff>0</xdr:rowOff>
                  </from>
                  <to>
                    <xdr:col>6</xdr:col>
                    <xdr:colOff>23813</xdr:colOff>
                    <xdr:row>4</xdr:row>
                    <xdr:rowOff>38100</xdr:rowOff>
                  </to>
                </anchor>
              </controlPr>
            </control>
          </mc:Choice>
        </mc:AlternateContent>
        <mc:AlternateContent xmlns:mc="http://schemas.openxmlformats.org/markup-compatibility/2006">
          <mc:Choice Requires="x14">
            <control shapeId="57351" r:id="rId4" name="Button 7">
              <controlPr defaultSize="0" print="0" autoFill="0" autoPict="0" macro="[0]!SUMQ.xferPhaseInjectionRateDefaults">
                <anchor moveWithCells="1" sizeWithCells="1">
                  <from>
                    <xdr:col>7</xdr:col>
                    <xdr:colOff>204788</xdr:colOff>
                    <xdr:row>80</xdr:row>
                    <xdr:rowOff>61913</xdr:rowOff>
                  </from>
                  <to>
                    <xdr:col>8</xdr:col>
                    <xdr:colOff>681038</xdr:colOff>
                    <xdr:row>83</xdr:row>
                    <xdr:rowOff>100013</xdr:rowOff>
                  </to>
                </anchor>
              </controlPr>
            </control>
          </mc:Choice>
        </mc:AlternateContent>
        <mc:AlternateContent xmlns:mc="http://schemas.openxmlformats.org/markup-compatibility/2006">
          <mc:Choice Requires="x14">
            <control shapeId="57353" r:id="rId5" name="Button 9">
              <controlPr defaultSize="0" print="0" autoFill="0" autoPict="0" macro="[0]!SUMQ.xferPhaseYieldDefaults">
                <anchor moveWithCells="1" sizeWithCells="1">
                  <from>
                    <xdr:col>7</xdr:col>
                    <xdr:colOff>204788</xdr:colOff>
                    <xdr:row>53</xdr:row>
                    <xdr:rowOff>61913</xdr:rowOff>
                  </from>
                  <to>
                    <xdr:col>8</xdr:col>
                    <xdr:colOff>681038</xdr:colOff>
                    <xdr:row>56</xdr:row>
                    <xdr:rowOff>100013</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874CB-BBC8-4B04-8418-FE79D897DD5F}">
  <sheetPr codeName="SUMS"/>
  <dimension ref="A1:ER17"/>
  <sheetViews>
    <sheetView zoomScaleNormal="100" workbookViewId="0">
      <pane xSplit="6" ySplit="7" topLeftCell="G8" activePane="bottomRight" state="frozenSplit"/>
      <selection pane="topRight" activeCell="G1" sqref="G1"/>
      <selection pane="bottomLeft" activeCell="A2" sqref="A2"/>
      <selection pane="bottomRight" activeCell="I17" sqref="I17"/>
    </sheetView>
  </sheetViews>
  <sheetFormatPr baseColWidth="10" defaultColWidth="9.1328125" defaultRowHeight="10.15" x14ac:dyDescent="0.3"/>
  <cols>
    <col min="1" max="1" width="4.73046875" style="2" customWidth="1"/>
    <col min="2" max="2" width="20.73046875" style="6" customWidth="1"/>
    <col min="3" max="3" width="4.73046875" style="48" customWidth="1"/>
    <col min="4" max="4" width="20.73046875" style="47" customWidth="1"/>
    <col min="5" max="5" width="11.3984375" style="47" customWidth="1"/>
    <col min="6" max="6" width="9.73046875" style="47" bestFit="1" customWidth="1"/>
    <col min="7" max="11" width="5.73046875" style="6" customWidth="1"/>
    <col min="12" max="13" width="5.73046875" style="2" customWidth="1"/>
    <col min="14" max="19" width="5.73046875" style="6" customWidth="1"/>
    <col min="20" max="21" width="5.73046875" style="2" customWidth="1"/>
    <col min="22" max="42" width="5.73046875" style="6" customWidth="1"/>
    <col min="43" max="89" width="4.73046875" style="91" customWidth="1"/>
    <col min="90" max="102" width="4.73046875" style="2" customWidth="1"/>
    <col min="103" max="146" width="5.73046875" style="91" customWidth="1"/>
    <col min="147" max="147" width="8.73046875" style="137" customWidth="1"/>
    <col min="148" max="148" width="5.73046875" style="91" customWidth="1"/>
    <col min="149" max="16384" width="9.1328125" style="51"/>
  </cols>
  <sheetData>
    <row r="1" spans="1:148" s="59" customFormat="1" ht="15" customHeight="1" x14ac:dyDescent="0.4">
      <c r="B1" s="65" t="str">
        <f>[0]!TSPProcessName &amp; " Size Summary - Form SUMS"</f>
        <v>TSPi Size Summary - Form SUMS</v>
      </c>
      <c r="C1" s="53"/>
      <c r="D1" s="52"/>
      <c r="E1" s="52"/>
      <c r="F1" s="52"/>
      <c r="EQ1" s="139"/>
    </row>
    <row r="2" spans="1:148" s="66" customFormat="1" ht="11.65" x14ac:dyDescent="0.35">
      <c r="B2" s="67" t="s">
        <v>312</v>
      </c>
      <c r="C2" s="350" t="str">
        <f>IF(Name=0,"",Name)</f>
        <v>Isaac Diaz Perez</v>
      </c>
      <c r="D2" s="350"/>
      <c r="E2" s="350"/>
      <c r="F2" s="67"/>
      <c r="EQ2" s="140"/>
    </row>
    <row r="3" spans="1:148" s="66" customFormat="1" ht="11.65" x14ac:dyDescent="0.35">
      <c r="B3" s="67" t="s">
        <v>14</v>
      </c>
      <c r="C3" s="353" t="str">
        <f>IF(TeamName=0,"",TeamName)</f>
        <v>TSP-GRUPO B02-SUBGRUPO 3</v>
      </c>
      <c r="D3" s="353"/>
      <c r="E3" s="353"/>
      <c r="F3" s="67"/>
      <c r="EQ3" s="140"/>
    </row>
    <row r="4" spans="1:148" s="66" customFormat="1" ht="11.65" x14ac:dyDescent="0.35">
      <c r="B4" s="67" t="s">
        <v>314</v>
      </c>
      <c r="C4" s="355">
        <f ca="1">currentDate</f>
        <v>46182</v>
      </c>
      <c r="D4" s="355"/>
      <c r="E4" s="355"/>
      <c r="F4" s="67"/>
      <c r="EQ4" s="140"/>
    </row>
    <row r="5" spans="1:148" s="66" customFormat="1" ht="11.65" x14ac:dyDescent="0.35">
      <c r="A5" s="67"/>
      <c r="B5" s="67" t="str">
        <f>IF(Project!C5&lt;&gt;"",Project!C5,"")</f>
        <v>Instructor</v>
      </c>
      <c r="C5" s="353" t="str">
        <f>IF(InstructorName=0,"",InstructorName)</f>
        <v>Natalia Martinez Rojas</v>
      </c>
      <c r="D5" s="353"/>
      <c r="E5" s="353"/>
      <c r="F5" s="67"/>
      <c r="EQ5" s="140"/>
    </row>
    <row r="6" spans="1:148" s="66" customFormat="1" ht="11.65" x14ac:dyDescent="0.35">
      <c r="A6" s="67"/>
      <c r="B6" s="67" t="s">
        <v>327</v>
      </c>
      <c r="C6" s="353">
        <f>IF(Cycle=0,"",Cycle)</f>
        <v>1</v>
      </c>
      <c r="D6" s="353"/>
      <c r="E6" s="353"/>
      <c r="F6" s="67"/>
      <c r="G6" s="66" t="s">
        <v>468</v>
      </c>
      <c r="O6" s="66" t="s">
        <v>469</v>
      </c>
      <c r="W6" s="66" t="s">
        <v>470</v>
      </c>
      <c r="AQ6" s="66" t="s">
        <v>471</v>
      </c>
      <c r="BK6" s="66" t="s">
        <v>472</v>
      </c>
      <c r="CE6" s="66" t="s">
        <v>473</v>
      </c>
      <c r="CY6" s="66" t="s">
        <v>474</v>
      </c>
      <c r="DU6" s="66" t="s">
        <v>475</v>
      </c>
      <c r="EQ6" s="140"/>
    </row>
    <row r="7" spans="1:148" s="49" customFormat="1" ht="78" customHeight="1" x14ac:dyDescent="0.3">
      <c r="A7" s="227" t="s">
        <v>357</v>
      </c>
      <c r="B7" s="228" t="s">
        <v>476</v>
      </c>
      <c r="C7" s="229" t="s">
        <v>477</v>
      </c>
      <c r="D7" s="228" t="s">
        <v>478</v>
      </c>
      <c r="E7" s="230" t="s">
        <v>479</v>
      </c>
      <c r="F7" s="230" t="s">
        <v>480</v>
      </c>
      <c r="G7" s="227" t="s">
        <v>481</v>
      </c>
      <c r="H7" s="227" t="s">
        <v>482</v>
      </c>
      <c r="I7" s="227" t="s">
        <v>483</v>
      </c>
      <c r="J7" s="227" t="s">
        <v>484</v>
      </c>
      <c r="K7" s="227" t="s">
        <v>485</v>
      </c>
      <c r="L7" s="227" t="s">
        <v>486</v>
      </c>
      <c r="M7" s="227" t="s">
        <v>487</v>
      </c>
      <c r="N7" s="227" t="s">
        <v>488</v>
      </c>
      <c r="O7" s="227" t="s">
        <v>481</v>
      </c>
      <c r="P7" s="227" t="s">
        <v>482</v>
      </c>
      <c r="Q7" s="227" t="s">
        <v>483</v>
      </c>
      <c r="R7" s="227" t="s">
        <v>484</v>
      </c>
      <c r="S7" s="227" t="s">
        <v>485</v>
      </c>
      <c r="T7" s="227" t="s">
        <v>486</v>
      </c>
      <c r="U7" s="227" t="s">
        <v>487</v>
      </c>
      <c r="V7" s="227" t="s">
        <v>488</v>
      </c>
      <c r="W7" s="227" t="s">
        <v>320</v>
      </c>
      <c r="X7" s="227" t="s">
        <v>186</v>
      </c>
      <c r="Y7" s="227" t="s">
        <v>329</v>
      </c>
      <c r="Z7" s="227" t="s">
        <v>334</v>
      </c>
      <c r="AA7" s="227" t="s">
        <v>190</v>
      </c>
      <c r="AB7" s="227" t="s">
        <v>337</v>
      </c>
      <c r="AC7" s="227" t="s">
        <v>339</v>
      </c>
      <c r="AD7" s="227" t="s">
        <v>341</v>
      </c>
      <c r="AE7" s="227" t="s">
        <v>343</v>
      </c>
      <c r="AF7" s="227" t="s">
        <v>345</v>
      </c>
      <c r="AG7" s="227" t="s">
        <v>347</v>
      </c>
      <c r="AH7" s="227" t="s">
        <v>348</v>
      </c>
      <c r="AI7" s="227" t="s">
        <v>349</v>
      </c>
      <c r="AJ7" s="227" t="s">
        <v>350</v>
      </c>
      <c r="AK7" s="227" t="s">
        <v>351</v>
      </c>
      <c r="AL7" s="227" t="s">
        <v>352</v>
      </c>
      <c r="AM7" s="227" t="s">
        <v>353</v>
      </c>
      <c r="AN7" s="227" t="s">
        <v>354</v>
      </c>
      <c r="AO7" s="227" t="s">
        <v>447</v>
      </c>
      <c r="AP7" s="227" t="s">
        <v>344</v>
      </c>
      <c r="AQ7" s="227" t="s">
        <v>320</v>
      </c>
      <c r="AR7" s="227" t="s">
        <v>186</v>
      </c>
      <c r="AS7" s="227" t="s">
        <v>329</v>
      </c>
      <c r="AT7" s="227" t="s">
        <v>334</v>
      </c>
      <c r="AU7" s="227" t="s">
        <v>190</v>
      </c>
      <c r="AV7" s="227" t="s">
        <v>337</v>
      </c>
      <c r="AW7" s="227" t="s">
        <v>339</v>
      </c>
      <c r="AX7" s="227" t="s">
        <v>341</v>
      </c>
      <c r="AY7" s="227" t="s">
        <v>343</v>
      </c>
      <c r="AZ7" s="227" t="s">
        <v>345</v>
      </c>
      <c r="BA7" s="227" t="s">
        <v>347</v>
      </c>
      <c r="BB7" s="227" t="s">
        <v>348</v>
      </c>
      <c r="BC7" s="227" t="s">
        <v>349</v>
      </c>
      <c r="BD7" s="227" t="s">
        <v>350</v>
      </c>
      <c r="BE7" s="227" t="s">
        <v>351</v>
      </c>
      <c r="BF7" s="227" t="s">
        <v>352</v>
      </c>
      <c r="BG7" s="227" t="s">
        <v>353</v>
      </c>
      <c r="BH7" s="227" t="s">
        <v>354</v>
      </c>
      <c r="BI7" s="227" t="s">
        <v>447</v>
      </c>
      <c r="BJ7" s="227" t="s">
        <v>344</v>
      </c>
      <c r="BK7" s="227" t="s">
        <v>320</v>
      </c>
      <c r="BL7" s="227" t="s">
        <v>186</v>
      </c>
      <c r="BM7" s="227" t="s">
        <v>329</v>
      </c>
      <c r="BN7" s="227" t="s">
        <v>334</v>
      </c>
      <c r="BO7" s="227" t="s">
        <v>190</v>
      </c>
      <c r="BP7" s="227" t="s">
        <v>337</v>
      </c>
      <c r="BQ7" s="227" t="s">
        <v>339</v>
      </c>
      <c r="BR7" s="227" t="s">
        <v>341</v>
      </c>
      <c r="BS7" s="227" t="s">
        <v>343</v>
      </c>
      <c r="BT7" s="227" t="s">
        <v>345</v>
      </c>
      <c r="BU7" s="227" t="s">
        <v>347</v>
      </c>
      <c r="BV7" s="227" t="s">
        <v>348</v>
      </c>
      <c r="BW7" s="227" t="s">
        <v>349</v>
      </c>
      <c r="BX7" s="227" t="s">
        <v>350</v>
      </c>
      <c r="BY7" s="227" t="s">
        <v>351</v>
      </c>
      <c r="BZ7" s="227" t="s">
        <v>352</v>
      </c>
      <c r="CA7" s="227" t="s">
        <v>353</v>
      </c>
      <c r="CB7" s="227" t="s">
        <v>354</v>
      </c>
      <c r="CC7" s="227" t="s">
        <v>447</v>
      </c>
      <c r="CD7" s="227" t="s">
        <v>344</v>
      </c>
      <c r="CE7" s="227" t="s">
        <v>320</v>
      </c>
      <c r="CF7" s="227" t="s">
        <v>186</v>
      </c>
      <c r="CG7" s="227" t="s">
        <v>329</v>
      </c>
      <c r="CH7" s="227" t="s">
        <v>334</v>
      </c>
      <c r="CI7" s="227" t="s">
        <v>190</v>
      </c>
      <c r="CJ7" s="227" t="s">
        <v>337</v>
      </c>
      <c r="CK7" s="227" t="s">
        <v>339</v>
      </c>
      <c r="CL7" s="227" t="s">
        <v>341</v>
      </c>
      <c r="CM7" s="227" t="s">
        <v>343</v>
      </c>
      <c r="CN7" s="227" t="s">
        <v>345</v>
      </c>
      <c r="CO7" s="227" t="s">
        <v>347</v>
      </c>
      <c r="CP7" s="227" t="s">
        <v>348</v>
      </c>
      <c r="CQ7" s="227" t="s">
        <v>349</v>
      </c>
      <c r="CR7" s="227" t="s">
        <v>350</v>
      </c>
      <c r="CS7" s="227" t="s">
        <v>351</v>
      </c>
      <c r="CT7" s="227" t="s">
        <v>352</v>
      </c>
      <c r="CU7" s="227" t="s">
        <v>353</v>
      </c>
      <c r="CV7" s="227" t="s">
        <v>354</v>
      </c>
      <c r="CW7" s="227" t="s">
        <v>447</v>
      </c>
      <c r="CX7" s="227" t="s">
        <v>344</v>
      </c>
      <c r="CY7" s="227" t="str">
        <f>Phases!$B$2</f>
        <v>Management and Miscellaneous</v>
      </c>
      <c r="CZ7" s="227" t="str">
        <f>Phases!$B$3</f>
        <v>Launch and Strategy</v>
      </c>
      <c r="DA7" s="227" t="str">
        <f>Phases!$B$4</f>
        <v>Planning</v>
      </c>
      <c r="DB7" s="227" t="str">
        <f>Phases!$B$5</f>
        <v>Requirements</v>
      </c>
      <c r="DC7" s="227" t="str">
        <f>Phases!$B$6</f>
        <v>System Test Plan</v>
      </c>
      <c r="DD7" s="227" t="str">
        <f>Phases!$B$7</f>
        <v>REQ Inspection</v>
      </c>
      <c r="DE7" s="227" t="str">
        <f>Phases!$B$8</f>
        <v>High-Level Design</v>
      </c>
      <c r="DF7" s="227" t="str">
        <f>Phases!$B$9</f>
        <v>Integration Test Plan</v>
      </c>
      <c r="DG7" s="227" t="str">
        <f>Phases!$B$10</f>
        <v>HLD Inspection</v>
      </c>
      <c r="DH7" s="227" t="str">
        <f>Phases!$B$11</f>
        <v>Detailed Design</v>
      </c>
      <c r="DI7" s="227" t="str">
        <f>Phases!$B$12</f>
        <v>DLD Review</v>
      </c>
      <c r="DJ7" s="227" t="str">
        <f>Phases!$B$13</f>
        <v>Test Development</v>
      </c>
      <c r="DK7" s="227" t="str">
        <f>Phases!$B$14</f>
        <v>DLD Inspection</v>
      </c>
      <c r="DL7" s="227" t="str">
        <f>Phases!$B$15</f>
        <v>Code</v>
      </c>
      <c r="DM7" s="227" t="str">
        <f>Phases!$B$16</f>
        <v>Code Review</v>
      </c>
      <c r="DN7" s="227" t="str">
        <f>Phases!$B$17</f>
        <v>Compile</v>
      </c>
      <c r="DO7" s="227" t="str">
        <f>Phases!$B$18</f>
        <v>Code Inspection</v>
      </c>
      <c r="DP7" s="227" t="str">
        <f>Phases!$B$19</f>
        <v>Unit Test</v>
      </c>
      <c r="DQ7" s="227" t="str">
        <f>Phases!$B$20</f>
        <v>Build and Integration Test</v>
      </c>
      <c r="DR7" s="227" t="str">
        <f>Phases!$B$21</f>
        <v>System Test</v>
      </c>
      <c r="DS7" s="227" t="str">
        <f>Phases!$B$22</f>
        <v>Documentation</v>
      </c>
      <c r="DT7" s="227" t="str">
        <f>Phases!$B$23</f>
        <v>Postmortem</v>
      </c>
      <c r="DU7" s="227" t="str">
        <f>Phases!$B$2</f>
        <v>Management and Miscellaneous</v>
      </c>
      <c r="DV7" s="227" t="str">
        <f>Phases!$B$3</f>
        <v>Launch and Strategy</v>
      </c>
      <c r="DW7" s="227" t="str">
        <f>Phases!$B$4</f>
        <v>Planning</v>
      </c>
      <c r="DX7" s="227" t="str">
        <f>Phases!$B$5</f>
        <v>Requirements</v>
      </c>
      <c r="DY7" s="227" t="str">
        <f>Phases!$B$6</f>
        <v>System Test Plan</v>
      </c>
      <c r="DZ7" s="227" t="str">
        <f>Phases!$B$7</f>
        <v>REQ Inspection</v>
      </c>
      <c r="EA7" s="227" t="str">
        <f>Phases!$B$8</f>
        <v>High-Level Design</v>
      </c>
      <c r="EB7" s="227" t="str">
        <f>Phases!$B$9</f>
        <v>Integration Test Plan</v>
      </c>
      <c r="EC7" s="227" t="str">
        <f>Phases!$B$10</f>
        <v>HLD Inspection</v>
      </c>
      <c r="ED7" s="227" t="str">
        <f>Phases!$B$11</f>
        <v>Detailed Design</v>
      </c>
      <c r="EE7" s="227" t="str">
        <f>Phases!$B$12</f>
        <v>DLD Review</v>
      </c>
      <c r="EF7" s="227" t="str">
        <f>Phases!$B$13</f>
        <v>Test Development</v>
      </c>
      <c r="EG7" s="227" t="str">
        <f>Phases!$B$14</f>
        <v>DLD Inspection</v>
      </c>
      <c r="EH7" s="227" t="str">
        <f>Phases!$B$15</f>
        <v>Code</v>
      </c>
      <c r="EI7" s="227" t="str">
        <f>Phases!$B$16</f>
        <v>Code Review</v>
      </c>
      <c r="EJ7" s="227" t="str">
        <f>Phases!$B$17</f>
        <v>Compile</v>
      </c>
      <c r="EK7" s="227" t="str">
        <f>Phases!$B$18</f>
        <v>Code Inspection</v>
      </c>
      <c r="EL7" s="227" t="str">
        <f>Phases!$B$19</f>
        <v>Unit Test</v>
      </c>
      <c r="EM7" s="227" t="str">
        <f>Phases!$B$20</f>
        <v>Build and Integration Test</v>
      </c>
      <c r="EN7" s="227" t="str">
        <f>Phases!$B$21</f>
        <v>System Test</v>
      </c>
      <c r="EO7" s="227" t="str">
        <f>Phases!$B$22</f>
        <v>Documentation</v>
      </c>
      <c r="EP7" s="227" t="str">
        <f>Phases!$B$23</f>
        <v>Postmortem</v>
      </c>
      <c r="EQ7" s="231" t="s">
        <v>489</v>
      </c>
      <c r="ER7" s="227" t="s">
        <v>490</v>
      </c>
    </row>
    <row r="8" spans="1:148" x14ac:dyDescent="0.3">
      <c r="A8" s="283">
        <v>1</v>
      </c>
      <c r="B8" s="156" t="s">
        <v>491</v>
      </c>
      <c r="C8" s="336" t="s">
        <v>492</v>
      </c>
      <c r="D8" s="337" t="s">
        <v>493</v>
      </c>
      <c r="E8" s="337" t="s">
        <v>412</v>
      </c>
      <c r="F8" s="337" t="s">
        <v>494</v>
      </c>
      <c r="G8" s="156">
        <v>0</v>
      </c>
      <c r="H8" s="156">
        <v>0</v>
      </c>
      <c r="I8" s="156">
        <v>0</v>
      </c>
      <c r="J8" s="156">
        <v>200</v>
      </c>
      <c r="K8" s="156">
        <v>0</v>
      </c>
      <c r="L8" s="283">
        <v>450</v>
      </c>
      <c r="M8" s="283">
        <v>900</v>
      </c>
      <c r="N8" s="156">
        <v>0</v>
      </c>
      <c r="O8" s="156">
        <v>0</v>
      </c>
      <c r="P8" s="156">
        <v>0</v>
      </c>
      <c r="Q8" s="156">
        <v>0</v>
      </c>
      <c r="R8" s="156">
        <v>0</v>
      </c>
      <c r="S8" s="156">
        <v>0</v>
      </c>
      <c r="T8" s="283">
        <v>0</v>
      </c>
      <c r="U8" s="283">
        <v>0</v>
      </c>
      <c r="V8" s="156">
        <v>0</v>
      </c>
      <c r="W8" s="156">
        <v>0</v>
      </c>
      <c r="X8" s="156">
        <v>0</v>
      </c>
      <c r="Y8" s="156">
        <v>0</v>
      </c>
      <c r="Z8" s="156">
        <v>0</v>
      </c>
      <c r="AA8" s="156">
        <v>0</v>
      </c>
      <c r="AB8" s="156">
        <v>0</v>
      </c>
      <c r="AC8" s="156">
        <v>0</v>
      </c>
      <c r="AD8" s="156">
        <v>0</v>
      </c>
      <c r="AE8" s="156">
        <v>0</v>
      </c>
      <c r="AF8" s="156">
        <v>0</v>
      </c>
      <c r="AG8" s="156">
        <v>0</v>
      </c>
      <c r="AH8" s="156">
        <v>0</v>
      </c>
      <c r="AI8" s="156">
        <v>0</v>
      </c>
      <c r="AJ8" s="156">
        <v>0</v>
      </c>
      <c r="AK8" s="156">
        <v>0</v>
      </c>
      <c r="AL8" s="156">
        <v>0</v>
      </c>
      <c r="AM8" s="156">
        <v>0</v>
      </c>
      <c r="AN8" s="156">
        <v>0</v>
      </c>
      <c r="AO8" s="156">
        <v>0</v>
      </c>
      <c r="AP8" s="156">
        <v>0</v>
      </c>
      <c r="AQ8" s="263">
        <v>0</v>
      </c>
      <c r="AR8" s="263">
        <v>0</v>
      </c>
      <c r="AS8" s="263">
        <v>0</v>
      </c>
      <c r="AT8" s="263">
        <v>0</v>
      </c>
      <c r="AU8" s="263">
        <v>0</v>
      </c>
      <c r="AV8" s="263">
        <v>0</v>
      </c>
      <c r="AW8" s="263">
        <v>0</v>
      </c>
      <c r="AX8" s="263">
        <v>0</v>
      </c>
      <c r="AY8" s="263">
        <v>0</v>
      </c>
      <c r="AZ8" s="263">
        <v>0</v>
      </c>
      <c r="BA8" s="263">
        <v>0</v>
      </c>
      <c r="BB8" s="263">
        <v>0</v>
      </c>
      <c r="BC8" s="263">
        <v>0</v>
      </c>
      <c r="BD8" s="263">
        <v>0</v>
      </c>
      <c r="BE8" s="263">
        <v>0</v>
      </c>
      <c r="BF8" s="263">
        <v>0</v>
      </c>
      <c r="BG8" s="263">
        <v>0</v>
      </c>
      <c r="BH8" s="263">
        <v>0</v>
      </c>
      <c r="BI8" s="263">
        <v>0</v>
      </c>
      <c r="BJ8" s="263">
        <v>0</v>
      </c>
      <c r="BK8" s="263">
        <v>0</v>
      </c>
      <c r="BL8" s="263">
        <v>0</v>
      </c>
      <c r="BM8" s="263">
        <v>0</v>
      </c>
      <c r="BN8" s="263">
        <v>0</v>
      </c>
      <c r="BO8" s="263">
        <v>0</v>
      </c>
      <c r="BP8" s="263">
        <v>0</v>
      </c>
      <c r="BQ8" s="263">
        <v>0</v>
      </c>
      <c r="BR8" s="263">
        <v>0</v>
      </c>
      <c r="BS8" s="263">
        <v>0</v>
      </c>
      <c r="BT8" s="263">
        <v>0</v>
      </c>
      <c r="BU8" s="263">
        <v>0</v>
      </c>
      <c r="BV8" s="263">
        <v>0</v>
      </c>
      <c r="BW8" s="263">
        <v>0</v>
      </c>
      <c r="BX8" s="263">
        <v>0</v>
      </c>
      <c r="BY8" s="263">
        <v>0</v>
      </c>
      <c r="BZ8" s="263">
        <v>0</v>
      </c>
      <c r="CA8" s="263">
        <v>0</v>
      </c>
      <c r="CB8" s="263">
        <v>0</v>
      </c>
      <c r="CC8" s="263">
        <v>0</v>
      </c>
      <c r="CD8" s="263">
        <v>0</v>
      </c>
      <c r="CE8" s="263">
        <v>0</v>
      </c>
      <c r="CF8" s="263">
        <v>0</v>
      </c>
      <c r="CG8" s="263">
        <v>0</v>
      </c>
      <c r="CH8" s="263">
        <v>0</v>
      </c>
      <c r="CI8" s="263">
        <v>0</v>
      </c>
      <c r="CJ8" s="263">
        <v>0</v>
      </c>
      <c r="CK8" s="263">
        <v>0</v>
      </c>
      <c r="CL8" s="283">
        <v>0</v>
      </c>
      <c r="CM8" s="283">
        <v>0</v>
      </c>
      <c r="CN8" s="283">
        <v>0</v>
      </c>
      <c r="CO8" s="283">
        <v>0</v>
      </c>
      <c r="CP8" s="283">
        <v>0</v>
      </c>
      <c r="CQ8" s="283">
        <v>0</v>
      </c>
      <c r="CR8" s="283">
        <v>0</v>
      </c>
      <c r="CS8" s="283">
        <v>0</v>
      </c>
      <c r="CT8" s="283">
        <v>0</v>
      </c>
      <c r="CU8" s="283">
        <v>0</v>
      </c>
      <c r="CV8" s="283">
        <v>0</v>
      </c>
      <c r="CW8" s="283">
        <v>0</v>
      </c>
      <c r="CX8" s="283">
        <v>0</v>
      </c>
      <c r="CY8" s="263">
        <v>0</v>
      </c>
      <c r="CZ8" s="263">
        <v>0</v>
      </c>
      <c r="DA8" s="263">
        <v>0</v>
      </c>
      <c r="DB8" s="263">
        <v>0</v>
      </c>
      <c r="DC8" s="263">
        <v>0</v>
      </c>
      <c r="DD8" s="263">
        <v>0</v>
      </c>
      <c r="DE8" s="263">
        <v>0</v>
      </c>
      <c r="DF8" s="263">
        <v>0</v>
      </c>
      <c r="DG8" s="263">
        <v>0</v>
      </c>
      <c r="DH8" s="263">
        <v>0</v>
      </c>
      <c r="DI8" s="263">
        <v>0</v>
      </c>
      <c r="DJ8" s="263">
        <v>0</v>
      </c>
      <c r="DK8" s="263">
        <v>0</v>
      </c>
      <c r="DL8" s="263">
        <v>0</v>
      </c>
      <c r="DM8" s="263">
        <v>0</v>
      </c>
      <c r="DN8" s="263">
        <v>0</v>
      </c>
      <c r="DO8" s="263">
        <v>0</v>
      </c>
      <c r="DP8" s="263">
        <v>0</v>
      </c>
      <c r="DQ8" s="263">
        <v>0</v>
      </c>
      <c r="DR8" s="263">
        <v>0</v>
      </c>
      <c r="DS8" s="263">
        <v>0</v>
      </c>
      <c r="DT8" s="263">
        <v>0</v>
      </c>
      <c r="DU8" s="263">
        <v>0</v>
      </c>
      <c r="DV8" s="263">
        <v>0</v>
      </c>
      <c r="DW8" s="263">
        <v>0</v>
      </c>
      <c r="DX8" s="263">
        <v>0</v>
      </c>
      <c r="DY8" s="263">
        <v>0</v>
      </c>
      <c r="DZ8" s="263">
        <v>0</v>
      </c>
      <c r="EA8" s="263">
        <v>0</v>
      </c>
      <c r="EB8" s="263">
        <v>0</v>
      </c>
      <c r="EC8" s="263">
        <v>0</v>
      </c>
      <c r="ED8" s="263">
        <v>0</v>
      </c>
      <c r="EE8" s="263">
        <v>0</v>
      </c>
      <c r="EF8" s="263">
        <v>0</v>
      </c>
      <c r="EG8" s="263">
        <v>0</v>
      </c>
      <c r="EH8" s="263">
        <v>0</v>
      </c>
      <c r="EI8" s="263">
        <v>0</v>
      </c>
      <c r="EJ8" s="263">
        <v>0</v>
      </c>
      <c r="EK8" s="263">
        <v>0</v>
      </c>
      <c r="EL8" s="263">
        <v>0</v>
      </c>
      <c r="EM8" s="263">
        <v>0</v>
      </c>
      <c r="EN8" s="263">
        <v>0</v>
      </c>
      <c r="EO8" s="263">
        <v>0</v>
      </c>
      <c r="EP8" s="263">
        <v>0</v>
      </c>
      <c r="EQ8" s="338"/>
      <c r="ER8" s="263"/>
    </row>
    <row r="9" spans="1:148" x14ac:dyDescent="0.3">
      <c r="A9" s="283">
        <v>2</v>
      </c>
      <c r="B9" s="156" t="s">
        <v>495</v>
      </c>
      <c r="C9" s="336" t="s">
        <v>492</v>
      </c>
      <c r="D9" s="337" t="s">
        <v>493</v>
      </c>
      <c r="E9" s="337" t="s">
        <v>415</v>
      </c>
      <c r="F9" s="337" t="s">
        <v>494</v>
      </c>
      <c r="G9" s="156">
        <v>0</v>
      </c>
      <c r="H9" s="156">
        <v>0</v>
      </c>
      <c r="I9" s="156">
        <v>0</v>
      </c>
      <c r="J9" s="156">
        <v>200</v>
      </c>
      <c r="K9" s="156">
        <v>0</v>
      </c>
      <c r="L9" s="283">
        <v>300</v>
      </c>
      <c r="M9" s="283">
        <v>600</v>
      </c>
      <c r="N9" s="156">
        <v>0</v>
      </c>
      <c r="O9" s="156">
        <v>0</v>
      </c>
      <c r="P9" s="156">
        <v>0</v>
      </c>
      <c r="Q9" s="156">
        <v>0</v>
      </c>
      <c r="R9" s="156">
        <v>0</v>
      </c>
      <c r="S9" s="156">
        <v>0</v>
      </c>
      <c r="T9" s="283">
        <v>0</v>
      </c>
      <c r="U9" s="283">
        <v>0</v>
      </c>
      <c r="V9" s="156">
        <v>0</v>
      </c>
      <c r="W9" s="156">
        <v>0</v>
      </c>
      <c r="X9" s="156">
        <v>0</v>
      </c>
      <c r="Y9" s="156">
        <v>0</v>
      </c>
      <c r="Z9" s="156">
        <v>0</v>
      </c>
      <c r="AA9" s="156">
        <v>0</v>
      </c>
      <c r="AB9" s="156">
        <v>0</v>
      </c>
      <c r="AC9" s="156">
        <v>0</v>
      </c>
      <c r="AD9" s="156">
        <v>0</v>
      </c>
      <c r="AE9" s="156">
        <v>0</v>
      </c>
      <c r="AF9" s="156">
        <v>0</v>
      </c>
      <c r="AG9" s="156">
        <v>0</v>
      </c>
      <c r="AH9" s="156">
        <v>0</v>
      </c>
      <c r="AI9" s="156">
        <v>0</v>
      </c>
      <c r="AJ9" s="156">
        <v>0</v>
      </c>
      <c r="AK9" s="156">
        <v>0</v>
      </c>
      <c r="AL9" s="156">
        <v>0</v>
      </c>
      <c r="AM9" s="156">
        <v>0</v>
      </c>
      <c r="AN9" s="156">
        <v>0</v>
      </c>
      <c r="AO9" s="156">
        <v>0</v>
      </c>
      <c r="AP9" s="156">
        <v>0</v>
      </c>
      <c r="AQ9" s="263">
        <v>0</v>
      </c>
      <c r="AR9" s="263">
        <v>0</v>
      </c>
      <c r="AS9" s="263">
        <v>0</v>
      </c>
      <c r="AT9" s="263">
        <v>0</v>
      </c>
      <c r="AU9" s="263">
        <v>0</v>
      </c>
      <c r="AV9" s="263">
        <v>0</v>
      </c>
      <c r="AW9" s="263">
        <v>0</v>
      </c>
      <c r="AX9" s="263">
        <v>0</v>
      </c>
      <c r="AY9" s="263">
        <v>0</v>
      </c>
      <c r="AZ9" s="263">
        <v>0</v>
      </c>
      <c r="BA9" s="263">
        <v>0</v>
      </c>
      <c r="BB9" s="263">
        <v>0</v>
      </c>
      <c r="BC9" s="263">
        <v>0</v>
      </c>
      <c r="BD9" s="263">
        <v>0</v>
      </c>
      <c r="BE9" s="263">
        <v>0</v>
      </c>
      <c r="BF9" s="263">
        <v>0</v>
      </c>
      <c r="BG9" s="263">
        <v>0</v>
      </c>
      <c r="BH9" s="263">
        <v>0</v>
      </c>
      <c r="BI9" s="263">
        <v>0</v>
      </c>
      <c r="BJ9" s="263">
        <v>0</v>
      </c>
      <c r="BK9" s="263">
        <v>0</v>
      </c>
      <c r="BL9" s="263">
        <v>0</v>
      </c>
      <c r="BM9" s="263">
        <v>0</v>
      </c>
      <c r="BN9" s="263">
        <v>0</v>
      </c>
      <c r="BO9" s="263">
        <v>0</v>
      </c>
      <c r="BP9" s="263">
        <v>0</v>
      </c>
      <c r="BQ9" s="263">
        <v>0</v>
      </c>
      <c r="BR9" s="263">
        <v>0</v>
      </c>
      <c r="BS9" s="263">
        <v>0</v>
      </c>
      <c r="BT9" s="263">
        <v>0</v>
      </c>
      <c r="BU9" s="263">
        <v>0</v>
      </c>
      <c r="BV9" s="263">
        <v>0</v>
      </c>
      <c r="BW9" s="263">
        <v>0</v>
      </c>
      <c r="BX9" s="263">
        <v>0</v>
      </c>
      <c r="BY9" s="263">
        <v>0</v>
      </c>
      <c r="BZ9" s="263">
        <v>0</v>
      </c>
      <c r="CA9" s="263">
        <v>0</v>
      </c>
      <c r="CB9" s="263">
        <v>0</v>
      </c>
      <c r="CC9" s="263">
        <v>0</v>
      </c>
      <c r="CD9" s="263">
        <v>0</v>
      </c>
      <c r="CE9" s="263">
        <v>0</v>
      </c>
      <c r="CF9" s="263">
        <v>0</v>
      </c>
      <c r="CG9" s="263">
        <v>0</v>
      </c>
      <c r="CH9" s="263">
        <v>0</v>
      </c>
      <c r="CI9" s="263">
        <v>0</v>
      </c>
      <c r="CJ9" s="263">
        <v>0</v>
      </c>
      <c r="CK9" s="263">
        <v>0</v>
      </c>
      <c r="CL9" s="283">
        <v>0</v>
      </c>
      <c r="CM9" s="283">
        <v>0</v>
      </c>
      <c r="CN9" s="283">
        <v>0</v>
      </c>
      <c r="CO9" s="283">
        <v>0</v>
      </c>
      <c r="CP9" s="283">
        <v>0</v>
      </c>
      <c r="CQ9" s="283">
        <v>0</v>
      </c>
      <c r="CR9" s="283">
        <v>0</v>
      </c>
      <c r="CS9" s="283">
        <v>0</v>
      </c>
      <c r="CT9" s="283">
        <v>0</v>
      </c>
      <c r="CU9" s="283">
        <v>0</v>
      </c>
      <c r="CV9" s="283">
        <v>0</v>
      </c>
      <c r="CW9" s="283">
        <v>0</v>
      </c>
      <c r="CX9" s="283">
        <v>0</v>
      </c>
      <c r="CY9" s="263">
        <v>0</v>
      </c>
      <c r="CZ9" s="263">
        <v>0</v>
      </c>
      <c r="DA9" s="263">
        <v>0</v>
      </c>
      <c r="DB9" s="263">
        <v>0</v>
      </c>
      <c r="DC9" s="263">
        <v>0</v>
      </c>
      <c r="DD9" s="263">
        <v>0</v>
      </c>
      <c r="DE9" s="263">
        <v>0</v>
      </c>
      <c r="DF9" s="263">
        <v>0</v>
      </c>
      <c r="DG9" s="263">
        <v>0</v>
      </c>
      <c r="DH9" s="263">
        <v>0</v>
      </c>
      <c r="DI9" s="263">
        <v>0</v>
      </c>
      <c r="DJ9" s="263">
        <v>0</v>
      </c>
      <c r="DK9" s="263">
        <v>0</v>
      </c>
      <c r="DL9" s="263">
        <v>0</v>
      </c>
      <c r="DM9" s="263">
        <v>0</v>
      </c>
      <c r="DN9" s="263">
        <v>0</v>
      </c>
      <c r="DO9" s="263">
        <v>0</v>
      </c>
      <c r="DP9" s="263">
        <v>0</v>
      </c>
      <c r="DQ9" s="263">
        <v>0</v>
      </c>
      <c r="DR9" s="263">
        <v>0</v>
      </c>
      <c r="DS9" s="263">
        <v>0</v>
      </c>
      <c r="DT9" s="263">
        <v>0</v>
      </c>
      <c r="DU9" s="263">
        <v>0</v>
      </c>
      <c r="DV9" s="263">
        <v>0</v>
      </c>
      <c r="DW9" s="263">
        <v>0</v>
      </c>
      <c r="DX9" s="263">
        <v>0</v>
      </c>
      <c r="DY9" s="263">
        <v>0</v>
      </c>
      <c r="DZ9" s="263">
        <v>0</v>
      </c>
      <c r="EA9" s="263">
        <v>0</v>
      </c>
      <c r="EB9" s="263">
        <v>0</v>
      </c>
      <c r="EC9" s="263">
        <v>0</v>
      </c>
      <c r="ED9" s="263">
        <v>0</v>
      </c>
      <c r="EE9" s="263">
        <v>0</v>
      </c>
      <c r="EF9" s="263">
        <v>0</v>
      </c>
      <c r="EG9" s="263">
        <v>0</v>
      </c>
      <c r="EH9" s="263">
        <v>0</v>
      </c>
      <c r="EI9" s="263">
        <v>0</v>
      </c>
      <c r="EJ9" s="263">
        <v>0</v>
      </c>
      <c r="EK9" s="263">
        <v>0</v>
      </c>
      <c r="EL9" s="263">
        <v>0</v>
      </c>
      <c r="EM9" s="263">
        <v>0</v>
      </c>
      <c r="EN9" s="263">
        <v>0</v>
      </c>
      <c r="EO9" s="263">
        <v>0</v>
      </c>
      <c r="EP9" s="263">
        <v>0</v>
      </c>
      <c r="EQ9" s="338"/>
      <c r="ER9" s="263"/>
    </row>
    <row r="10" spans="1:148" x14ac:dyDescent="0.3">
      <c r="A10" s="283">
        <v>3</v>
      </c>
      <c r="B10" s="156" t="s">
        <v>496</v>
      </c>
      <c r="C10" s="336" t="s">
        <v>492</v>
      </c>
      <c r="D10" s="337" t="s">
        <v>493</v>
      </c>
      <c r="E10" s="337" t="s">
        <v>414</v>
      </c>
      <c r="F10" s="337" t="s">
        <v>494</v>
      </c>
      <c r="G10" s="156">
        <v>0</v>
      </c>
      <c r="H10" s="156">
        <v>0</v>
      </c>
      <c r="I10" s="156">
        <v>0</v>
      </c>
      <c r="J10" s="156">
        <v>250</v>
      </c>
      <c r="K10" s="156">
        <v>0</v>
      </c>
      <c r="L10" s="283">
        <v>250</v>
      </c>
      <c r="M10" s="283">
        <v>500</v>
      </c>
      <c r="N10" s="156">
        <v>0</v>
      </c>
      <c r="O10" s="156">
        <v>0</v>
      </c>
      <c r="P10" s="156">
        <v>0</v>
      </c>
      <c r="Q10" s="156">
        <v>0</v>
      </c>
      <c r="R10" s="156">
        <v>0</v>
      </c>
      <c r="S10" s="156">
        <v>0</v>
      </c>
      <c r="T10" s="283">
        <v>0</v>
      </c>
      <c r="U10" s="283">
        <v>0</v>
      </c>
      <c r="V10" s="156">
        <v>0</v>
      </c>
      <c r="W10" s="156">
        <v>0</v>
      </c>
      <c r="X10" s="156">
        <v>0</v>
      </c>
      <c r="Y10" s="156">
        <v>0</v>
      </c>
      <c r="Z10" s="156">
        <v>0</v>
      </c>
      <c r="AA10" s="156">
        <v>0</v>
      </c>
      <c r="AB10" s="156">
        <v>0</v>
      </c>
      <c r="AC10" s="156">
        <v>0</v>
      </c>
      <c r="AD10" s="156">
        <v>0</v>
      </c>
      <c r="AE10" s="156">
        <v>0</v>
      </c>
      <c r="AF10" s="156">
        <v>0</v>
      </c>
      <c r="AG10" s="156">
        <v>0</v>
      </c>
      <c r="AH10" s="156">
        <v>0</v>
      </c>
      <c r="AI10" s="156">
        <v>0</v>
      </c>
      <c r="AJ10" s="156">
        <v>0</v>
      </c>
      <c r="AK10" s="156">
        <v>0</v>
      </c>
      <c r="AL10" s="156">
        <v>0</v>
      </c>
      <c r="AM10" s="156">
        <v>0</v>
      </c>
      <c r="AN10" s="156">
        <v>0</v>
      </c>
      <c r="AO10" s="156">
        <v>0</v>
      </c>
      <c r="AP10" s="156">
        <v>0</v>
      </c>
      <c r="AQ10" s="263">
        <v>0</v>
      </c>
      <c r="AR10" s="263">
        <v>0</v>
      </c>
      <c r="AS10" s="263">
        <v>0</v>
      </c>
      <c r="AT10" s="263">
        <v>0</v>
      </c>
      <c r="AU10" s="263">
        <v>0</v>
      </c>
      <c r="AV10" s="263">
        <v>0</v>
      </c>
      <c r="AW10" s="263">
        <v>0</v>
      </c>
      <c r="AX10" s="263">
        <v>0</v>
      </c>
      <c r="AY10" s="263">
        <v>0</v>
      </c>
      <c r="AZ10" s="263">
        <v>0</v>
      </c>
      <c r="BA10" s="263">
        <v>0</v>
      </c>
      <c r="BB10" s="263">
        <v>0</v>
      </c>
      <c r="BC10" s="263">
        <v>0</v>
      </c>
      <c r="BD10" s="263">
        <v>0</v>
      </c>
      <c r="BE10" s="263">
        <v>0</v>
      </c>
      <c r="BF10" s="263">
        <v>0</v>
      </c>
      <c r="BG10" s="263">
        <v>0</v>
      </c>
      <c r="BH10" s="263">
        <v>0</v>
      </c>
      <c r="BI10" s="263">
        <v>0</v>
      </c>
      <c r="BJ10" s="263">
        <v>0</v>
      </c>
      <c r="BK10" s="263">
        <v>0</v>
      </c>
      <c r="BL10" s="263">
        <v>0</v>
      </c>
      <c r="BM10" s="263">
        <v>0</v>
      </c>
      <c r="BN10" s="263">
        <v>0</v>
      </c>
      <c r="BO10" s="263">
        <v>0</v>
      </c>
      <c r="BP10" s="263">
        <v>0</v>
      </c>
      <c r="BQ10" s="263">
        <v>0</v>
      </c>
      <c r="BR10" s="263">
        <v>0</v>
      </c>
      <c r="BS10" s="263">
        <v>0</v>
      </c>
      <c r="BT10" s="263">
        <v>0</v>
      </c>
      <c r="BU10" s="263">
        <v>0</v>
      </c>
      <c r="BV10" s="263">
        <v>0</v>
      </c>
      <c r="BW10" s="263">
        <v>0</v>
      </c>
      <c r="BX10" s="263">
        <v>0</v>
      </c>
      <c r="BY10" s="263">
        <v>0</v>
      </c>
      <c r="BZ10" s="263">
        <v>0</v>
      </c>
      <c r="CA10" s="263">
        <v>0</v>
      </c>
      <c r="CB10" s="263">
        <v>0</v>
      </c>
      <c r="CC10" s="263">
        <v>0</v>
      </c>
      <c r="CD10" s="263">
        <v>0</v>
      </c>
      <c r="CE10" s="263">
        <v>0</v>
      </c>
      <c r="CF10" s="263">
        <v>0</v>
      </c>
      <c r="CG10" s="263">
        <v>0</v>
      </c>
      <c r="CH10" s="263">
        <v>0</v>
      </c>
      <c r="CI10" s="263">
        <v>0</v>
      </c>
      <c r="CJ10" s="263">
        <v>0</v>
      </c>
      <c r="CK10" s="263">
        <v>0</v>
      </c>
      <c r="CL10" s="283">
        <v>0</v>
      </c>
      <c r="CM10" s="283">
        <v>0</v>
      </c>
      <c r="CN10" s="283">
        <v>0</v>
      </c>
      <c r="CO10" s="283">
        <v>0</v>
      </c>
      <c r="CP10" s="283">
        <v>0</v>
      </c>
      <c r="CQ10" s="283">
        <v>0</v>
      </c>
      <c r="CR10" s="283">
        <v>0</v>
      </c>
      <c r="CS10" s="283">
        <v>0</v>
      </c>
      <c r="CT10" s="283">
        <v>0</v>
      </c>
      <c r="CU10" s="283">
        <v>0</v>
      </c>
      <c r="CV10" s="283">
        <v>0</v>
      </c>
      <c r="CW10" s="283">
        <v>0</v>
      </c>
      <c r="CX10" s="283">
        <v>0</v>
      </c>
      <c r="CY10" s="263">
        <v>0</v>
      </c>
      <c r="CZ10" s="263">
        <v>0</v>
      </c>
      <c r="DA10" s="263">
        <v>0</v>
      </c>
      <c r="DB10" s="263">
        <v>0</v>
      </c>
      <c r="DC10" s="263">
        <v>0</v>
      </c>
      <c r="DD10" s="263">
        <v>0</v>
      </c>
      <c r="DE10" s="263">
        <v>0</v>
      </c>
      <c r="DF10" s="263">
        <v>0</v>
      </c>
      <c r="DG10" s="263">
        <v>0</v>
      </c>
      <c r="DH10" s="263">
        <v>0</v>
      </c>
      <c r="DI10" s="263">
        <v>0</v>
      </c>
      <c r="DJ10" s="263">
        <v>0</v>
      </c>
      <c r="DK10" s="263">
        <v>0</v>
      </c>
      <c r="DL10" s="263">
        <v>0</v>
      </c>
      <c r="DM10" s="263">
        <v>0</v>
      </c>
      <c r="DN10" s="263">
        <v>0</v>
      </c>
      <c r="DO10" s="263">
        <v>0</v>
      </c>
      <c r="DP10" s="263">
        <v>0</v>
      </c>
      <c r="DQ10" s="263">
        <v>0</v>
      </c>
      <c r="DR10" s="263">
        <v>0</v>
      </c>
      <c r="DS10" s="263">
        <v>0</v>
      </c>
      <c r="DT10" s="263">
        <v>0</v>
      </c>
      <c r="DU10" s="263">
        <v>0</v>
      </c>
      <c r="DV10" s="263">
        <v>0</v>
      </c>
      <c r="DW10" s="263">
        <v>0</v>
      </c>
      <c r="DX10" s="263">
        <v>0</v>
      </c>
      <c r="DY10" s="263">
        <v>0</v>
      </c>
      <c r="DZ10" s="263">
        <v>0</v>
      </c>
      <c r="EA10" s="263">
        <v>0</v>
      </c>
      <c r="EB10" s="263">
        <v>0</v>
      </c>
      <c r="EC10" s="263">
        <v>0</v>
      </c>
      <c r="ED10" s="263">
        <v>0</v>
      </c>
      <c r="EE10" s="263">
        <v>0</v>
      </c>
      <c r="EF10" s="263">
        <v>0</v>
      </c>
      <c r="EG10" s="263">
        <v>0</v>
      </c>
      <c r="EH10" s="263">
        <v>0</v>
      </c>
      <c r="EI10" s="263">
        <v>0</v>
      </c>
      <c r="EJ10" s="263">
        <v>0</v>
      </c>
      <c r="EK10" s="263">
        <v>0</v>
      </c>
      <c r="EL10" s="263">
        <v>0</v>
      </c>
      <c r="EM10" s="263">
        <v>0</v>
      </c>
      <c r="EN10" s="263">
        <v>0</v>
      </c>
      <c r="EO10" s="263">
        <v>0</v>
      </c>
      <c r="EP10" s="263">
        <v>0</v>
      </c>
      <c r="EQ10" s="338"/>
      <c r="ER10" s="263"/>
    </row>
    <row r="11" spans="1:148" x14ac:dyDescent="0.3">
      <c r="A11" s="283">
        <v>4</v>
      </c>
      <c r="B11" s="156" t="s">
        <v>497</v>
      </c>
      <c r="C11" s="336" t="s">
        <v>492</v>
      </c>
      <c r="D11" s="337" t="s">
        <v>493</v>
      </c>
      <c r="E11" s="337" t="s">
        <v>416</v>
      </c>
      <c r="F11" s="337" t="s">
        <v>494</v>
      </c>
      <c r="G11" s="156">
        <v>0</v>
      </c>
      <c r="H11" s="156">
        <v>0</v>
      </c>
      <c r="I11" s="156">
        <v>0</v>
      </c>
      <c r="J11" s="156">
        <v>200</v>
      </c>
      <c r="K11" s="156">
        <v>0</v>
      </c>
      <c r="L11" s="283">
        <v>500</v>
      </c>
      <c r="M11" s="283">
        <v>1000</v>
      </c>
      <c r="N11" s="156">
        <v>0</v>
      </c>
      <c r="O11" s="156">
        <v>0</v>
      </c>
      <c r="P11" s="156">
        <v>0</v>
      </c>
      <c r="Q11" s="156">
        <v>0</v>
      </c>
      <c r="R11" s="156">
        <v>0</v>
      </c>
      <c r="S11" s="156">
        <v>0</v>
      </c>
      <c r="T11" s="283">
        <v>0</v>
      </c>
      <c r="U11" s="283">
        <v>0</v>
      </c>
      <c r="V11" s="156">
        <v>0</v>
      </c>
      <c r="W11" s="156">
        <v>0</v>
      </c>
      <c r="X11" s="156">
        <v>0</v>
      </c>
      <c r="Y11" s="156">
        <v>0</v>
      </c>
      <c r="Z11" s="156">
        <v>0</v>
      </c>
      <c r="AA11" s="156">
        <v>0</v>
      </c>
      <c r="AB11" s="156">
        <v>0</v>
      </c>
      <c r="AC11" s="156">
        <v>0</v>
      </c>
      <c r="AD11" s="156">
        <v>0</v>
      </c>
      <c r="AE11" s="156">
        <v>0</v>
      </c>
      <c r="AF11" s="156">
        <v>0</v>
      </c>
      <c r="AG11" s="156">
        <v>0</v>
      </c>
      <c r="AH11" s="156">
        <v>0</v>
      </c>
      <c r="AI11" s="156">
        <v>0</v>
      </c>
      <c r="AJ11" s="156">
        <v>0</v>
      </c>
      <c r="AK11" s="156">
        <v>0</v>
      </c>
      <c r="AL11" s="156">
        <v>0</v>
      </c>
      <c r="AM11" s="156">
        <v>0</v>
      </c>
      <c r="AN11" s="156">
        <v>0</v>
      </c>
      <c r="AO11" s="156">
        <v>0</v>
      </c>
      <c r="AP11" s="156">
        <v>0</v>
      </c>
      <c r="AQ11" s="263">
        <v>0</v>
      </c>
      <c r="AR11" s="263">
        <v>0</v>
      </c>
      <c r="AS11" s="263">
        <v>0</v>
      </c>
      <c r="AT11" s="263">
        <v>0</v>
      </c>
      <c r="AU11" s="263">
        <v>0</v>
      </c>
      <c r="AV11" s="263">
        <v>0</v>
      </c>
      <c r="AW11" s="263">
        <v>0</v>
      </c>
      <c r="AX11" s="263">
        <v>0</v>
      </c>
      <c r="AY11" s="263">
        <v>0</v>
      </c>
      <c r="AZ11" s="263">
        <v>0</v>
      </c>
      <c r="BA11" s="263">
        <v>0</v>
      </c>
      <c r="BB11" s="263">
        <v>0</v>
      </c>
      <c r="BC11" s="263">
        <v>0</v>
      </c>
      <c r="BD11" s="263">
        <v>0</v>
      </c>
      <c r="BE11" s="263">
        <v>0</v>
      </c>
      <c r="BF11" s="263">
        <v>0</v>
      </c>
      <c r="BG11" s="263">
        <v>0</v>
      </c>
      <c r="BH11" s="263">
        <v>0</v>
      </c>
      <c r="BI11" s="263">
        <v>0</v>
      </c>
      <c r="BJ11" s="263">
        <v>0</v>
      </c>
      <c r="BK11" s="263">
        <v>0</v>
      </c>
      <c r="BL11" s="263">
        <v>0</v>
      </c>
      <c r="BM11" s="263">
        <v>0</v>
      </c>
      <c r="BN11" s="263">
        <v>0</v>
      </c>
      <c r="BO11" s="263">
        <v>0</v>
      </c>
      <c r="BP11" s="263">
        <v>0</v>
      </c>
      <c r="BQ11" s="263">
        <v>0</v>
      </c>
      <c r="BR11" s="263">
        <v>0</v>
      </c>
      <c r="BS11" s="263">
        <v>0</v>
      </c>
      <c r="BT11" s="263">
        <v>0</v>
      </c>
      <c r="BU11" s="263">
        <v>0</v>
      </c>
      <c r="BV11" s="263">
        <v>0</v>
      </c>
      <c r="BW11" s="263">
        <v>0</v>
      </c>
      <c r="BX11" s="263">
        <v>0</v>
      </c>
      <c r="BY11" s="263">
        <v>0</v>
      </c>
      <c r="BZ11" s="263">
        <v>0</v>
      </c>
      <c r="CA11" s="263">
        <v>0</v>
      </c>
      <c r="CB11" s="263">
        <v>0</v>
      </c>
      <c r="CC11" s="263">
        <v>0</v>
      </c>
      <c r="CD11" s="263">
        <v>0</v>
      </c>
      <c r="CE11" s="263">
        <v>0</v>
      </c>
      <c r="CF11" s="263">
        <v>0</v>
      </c>
      <c r="CG11" s="263">
        <v>0</v>
      </c>
      <c r="CH11" s="263">
        <v>0</v>
      </c>
      <c r="CI11" s="263">
        <v>0</v>
      </c>
      <c r="CJ11" s="263">
        <v>0</v>
      </c>
      <c r="CK11" s="263">
        <v>0</v>
      </c>
      <c r="CL11" s="283">
        <v>0</v>
      </c>
      <c r="CM11" s="283">
        <v>0</v>
      </c>
      <c r="CN11" s="283">
        <v>0</v>
      </c>
      <c r="CO11" s="283">
        <v>0</v>
      </c>
      <c r="CP11" s="283">
        <v>0</v>
      </c>
      <c r="CQ11" s="283">
        <v>0</v>
      </c>
      <c r="CR11" s="283">
        <v>0</v>
      </c>
      <c r="CS11" s="283">
        <v>0</v>
      </c>
      <c r="CT11" s="283">
        <v>0</v>
      </c>
      <c r="CU11" s="283">
        <v>0</v>
      </c>
      <c r="CV11" s="283">
        <v>0</v>
      </c>
      <c r="CW11" s="283">
        <v>0</v>
      </c>
      <c r="CX11" s="283">
        <v>0</v>
      </c>
      <c r="CY11" s="263">
        <v>0</v>
      </c>
      <c r="CZ11" s="263">
        <v>0</v>
      </c>
      <c r="DA11" s="263">
        <v>0</v>
      </c>
      <c r="DB11" s="263">
        <v>0</v>
      </c>
      <c r="DC11" s="263">
        <v>0</v>
      </c>
      <c r="DD11" s="263">
        <v>0</v>
      </c>
      <c r="DE11" s="263">
        <v>0</v>
      </c>
      <c r="DF11" s="263">
        <v>0</v>
      </c>
      <c r="DG11" s="263">
        <v>0</v>
      </c>
      <c r="DH11" s="263">
        <v>0</v>
      </c>
      <c r="DI11" s="263">
        <v>0</v>
      </c>
      <c r="DJ11" s="263">
        <v>0</v>
      </c>
      <c r="DK11" s="263">
        <v>0</v>
      </c>
      <c r="DL11" s="263">
        <v>0</v>
      </c>
      <c r="DM11" s="263">
        <v>0</v>
      </c>
      <c r="DN11" s="263">
        <v>0</v>
      </c>
      <c r="DO11" s="263">
        <v>0</v>
      </c>
      <c r="DP11" s="263">
        <v>0</v>
      </c>
      <c r="DQ11" s="263">
        <v>0</v>
      </c>
      <c r="DR11" s="263">
        <v>0</v>
      </c>
      <c r="DS11" s="263">
        <v>0</v>
      </c>
      <c r="DT11" s="263">
        <v>0</v>
      </c>
      <c r="DU11" s="263">
        <v>0</v>
      </c>
      <c r="DV11" s="263">
        <v>0</v>
      </c>
      <c r="DW11" s="263">
        <v>0</v>
      </c>
      <c r="DX11" s="263">
        <v>0</v>
      </c>
      <c r="DY11" s="263">
        <v>0</v>
      </c>
      <c r="DZ11" s="263">
        <v>0</v>
      </c>
      <c r="EA11" s="263">
        <v>0</v>
      </c>
      <c r="EB11" s="263">
        <v>0</v>
      </c>
      <c r="EC11" s="263">
        <v>0</v>
      </c>
      <c r="ED11" s="263">
        <v>0</v>
      </c>
      <c r="EE11" s="263">
        <v>0</v>
      </c>
      <c r="EF11" s="263">
        <v>0</v>
      </c>
      <c r="EG11" s="263">
        <v>0</v>
      </c>
      <c r="EH11" s="263">
        <v>0</v>
      </c>
      <c r="EI11" s="263">
        <v>0</v>
      </c>
      <c r="EJ11" s="263">
        <v>0</v>
      </c>
      <c r="EK11" s="263">
        <v>0</v>
      </c>
      <c r="EL11" s="263">
        <v>0</v>
      </c>
      <c r="EM11" s="263">
        <v>0</v>
      </c>
      <c r="EN11" s="263">
        <v>0</v>
      </c>
      <c r="EO11" s="263">
        <v>0</v>
      </c>
      <c r="EP11" s="263">
        <v>0</v>
      </c>
      <c r="EQ11" s="338"/>
      <c r="ER11" s="263"/>
    </row>
    <row r="12" spans="1:148" x14ac:dyDescent="0.3">
      <c r="A12" s="283">
        <v>5</v>
      </c>
      <c r="B12" s="156" t="s">
        <v>498</v>
      </c>
      <c r="C12" s="336" t="s">
        <v>492</v>
      </c>
      <c r="D12" s="337" t="s">
        <v>493</v>
      </c>
      <c r="E12" s="337" t="s">
        <v>417</v>
      </c>
      <c r="F12" s="337" t="s">
        <v>494</v>
      </c>
      <c r="G12" s="156">
        <v>0</v>
      </c>
      <c r="H12" s="156">
        <v>0</v>
      </c>
      <c r="I12" s="156">
        <v>0</v>
      </c>
      <c r="J12" s="156">
        <v>200</v>
      </c>
      <c r="K12" s="156">
        <v>0</v>
      </c>
      <c r="L12" s="283">
        <v>400</v>
      </c>
      <c r="M12" s="283">
        <v>800</v>
      </c>
      <c r="N12" s="156">
        <v>0</v>
      </c>
      <c r="O12" s="156">
        <v>0</v>
      </c>
      <c r="P12" s="156">
        <v>0</v>
      </c>
      <c r="Q12" s="156">
        <v>0</v>
      </c>
      <c r="R12" s="156">
        <v>0</v>
      </c>
      <c r="S12" s="156">
        <v>0</v>
      </c>
      <c r="T12" s="283">
        <v>0</v>
      </c>
      <c r="U12" s="283">
        <v>0</v>
      </c>
      <c r="V12" s="156">
        <v>0</v>
      </c>
      <c r="W12" s="156">
        <v>0</v>
      </c>
      <c r="X12" s="156">
        <v>0</v>
      </c>
      <c r="Y12" s="156">
        <v>0</v>
      </c>
      <c r="Z12" s="156">
        <v>0</v>
      </c>
      <c r="AA12" s="156">
        <v>0</v>
      </c>
      <c r="AB12" s="156">
        <v>0</v>
      </c>
      <c r="AC12" s="156">
        <v>0</v>
      </c>
      <c r="AD12" s="156">
        <v>0</v>
      </c>
      <c r="AE12" s="156">
        <v>0</v>
      </c>
      <c r="AF12" s="156">
        <v>0</v>
      </c>
      <c r="AG12" s="156">
        <v>0</v>
      </c>
      <c r="AH12" s="156">
        <v>0</v>
      </c>
      <c r="AI12" s="156">
        <v>0</v>
      </c>
      <c r="AJ12" s="156">
        <v>0</v>
      </c>
      <c r="AK12" s="156">
        <v>0</v>
      </c>
      <c r="AL12" s="156">
        <v>0</v>
      </c>
      <c r="AM12" s="156">
        <v>0</v>
      </c>
      <c r="AN12" s="156">
        <v>0</v>
      </c>
      <c r="AO12" s="156">
        <v>0</v>
      </c>
      <c r="AP12" s="156">
        <v>0</v>
      </c>
      <c r="AQ12" s="263">
        <v>0</v>
      </c>
      <c r="AR12" s="263">
        <v>0</v>
      </c>
      <c r="AS12" s="263">
        <v>0</v>
      </c>
      <c r="AT12" s="263">
        <v>0</v>
      </c>
      <c r="AU12" s="263">
        <v>0</v>
      </c>
      <c r="AV12" s="263">
        <v>0</v>
      </c>
      <c r="AW12" s="263">
        <v>0</v>
      </c>
      <c r="AX12" s="263">
        <v>0</v>
      </c>
      <c r="AY12" s="263">
        <v>0</v>
      </c>
      <c r="AZ12" s="263">
        <v>0</v>
      </c>
      <c r="BA12" s="263">
        <v>0</v>
      </c>
      <c r="BB12" s="263">
        <v>0</v>
      </c>
      <c r="BC12" s="263">
        <v>0</v>
      </c>
      <c r="BD12" s="263">
        <v>0</v>
      </c>
      <c r="BE12" s="263">
        <v>0</v>
      </c>
      <c r="BF12" s="263">
        <v>0</v>
      </c>
      <c r="BG12" s="263">
        <v>0</v>
      </c>
      <c r="BH12" s="263">
        <v>0</v>
      </c>
      <c r="BI12" s="263">
        <v>0</v>
      </c>
      <c r="BJ12" s="263">
        <v>0</v>
      </c>
      <c r="BK12" s="263">
        <v>0</v>
      </c>
      <c r="BL12" s="263">
        <v>0</v>
      </c>
      <c r="BM12" s="263">
        <v>0</v>
      </c>
      <c r="BN12" s="263">
        <v>0</v>
      </c>
      <c r="BO12" s="263">
        <v>0</v>
      </c>
      <c r="BP12" s="263">
        <v>0</v>
      </c>
      <c r="BQ12" s="263">
        <v>0</v>
      </c>
      <c r="BR12" s="263">
        <v>0</v>
      </c>
      <c r="BS12" s="263">
        <v>0</v>
      </c>
      <c r="BT12" s="263">
        <v>0</v>
      </c>
      <c r="BU12" s="263">
        <v>0</v>
      </c>
      <c r="BV12" s="263">
        <v>0</v>
      </c>
      <c r="BW12" s="263">
        <v>0</v>
      </c>
      <c r="BX12" s="263">
        <v>0</v>
      </c>
      <c r="BY12" s="263">
        <v>0</v>
      </c>
      <c r="BZ12" s="263">
        <v>0</v>
      </c>
      <c r="CA12" s="263">
        <v>0</v>
      </c>
      <c r="CB12" s="263">
        <v>0</v>
      </c>
      <c r="CC12" s="263">
        <v>0</v>
      </c>
      <c r="CD12" s="263">
        <v>0</v>
      </c>
      <c r="CE12" s="263">
        <v>0</v>
      </c>
      <c r="CF12" s="263">
        <v>0</v>
      </c>
      <c r="CG12" s="263">
        <v>0</v>
      </c>
      <c r="CH12" s="263">
        <v>0</v>
      </c>
      <c r="CI12" s="263">
        <v>0</v>
      </c>
      <c r="CJ12" s="263">
        <v>0</v>
      </c>
      <c r="CK12" s="263">
        <v>0</v>
      </c>
      <c r="CL12" s="283">
        <v>0</v>
      </c>
      <c r="CM12" s="283">
        <v>0</v>
      </c>
      <c r="CN12" s="283">
        <v>0</v>
      </c>
      <c r="CO12" s="283">
        <v>0</v>
      </c>
      <c r="CP12" s="283">
        <v>0</v>
      </c>
      <c r="CQ12" s="283">
        <v>0</v>
      </c>
      <c r="CR12" s="283">
        <v>0</v>
      </c>
      <c r="CS12" s="283">
        <v>0</v>
      </c>
      <c r="CT12" s="283">
        <v>0</v>
      </c>
      <c r="CU12" s="283">
        <v>0</v>
      </c>
      <c r="CV12" s="283">
        <v>0</v>
      </c>
      <c r="CW12" s="283">
        <v>0</v>
      </c>
      <c r="CX12" s="283">
        <v>0</v>
      </c>
      <c r="CY12" s="263">
        <v>0</v>
      </c>
      <c r="CZ12" s="263">
        <v>0</v>
      </c>
      <c r="DA12" s="263">
        <v>0</v>
      </c>
      <c r="DB12" s="263">
        <v>0</v>
      </c>
      <c r="DC12" s="263">
        <v>0</v>
      </c>
      <c r="DD12" s="263">
        <v>0</v>
      </c>
      <c r="DE12" s="263">
        <v>0</v>
      </c>
      <c r="DF12" s="263">
        <v>0</v>
      </c>
      <c r="DG12" s="263">
        <v>0</v>
      </c>
      <c r="DH12" s="263">
        <v>0</v>
      </c>
      <c r="DI12" s="263">
        <v>0</v>
      </c>
      <c r="DJ12" s="263">
        <v>0</v>
      </c>
      <c r="DK12" s="263">
        <v>0</v>
      </c>
      <c r="DL12" s="263">
        <v>0</v>
      </c>
      <c r="DM12" s="263">
        <v>0</v>
      </c>
      <c r="DN12" s="263">
        <v>0</v>
      </c>
      <c r="DO12" s="263">
        <v>0</v>
      </c>
      <c r="DP12" s="263">
        <v>0</v>
      </c>
      <c r="DQ12" s="263">
        <v>0</v>
      </c>
      <c r="DR12" s="263">
        <v>0</v>
      </c>
      <c r="DS12" s="263">
        <v>0</v>
      </c>
      <c r="DT12" s="263">
        <v>0</v>
      </c>
      <c r="DU12" s="263">
        <v>0</v>
      </c>
      <c r="DV12" s="263">
        <v>0</v>
      </c>
      <c r="DW12" s="263">
        <v>0</v>
      </c>
      <c r="DX12" s="263">
        <v>0</v>
      </c>
      <c r="DY12" s="263">
        <v>0</v>
      </c>
      <c r="DZ12" s="263">
        <v>0</v>
      </c>
      <c r="EA12" s="263">
        <v>0</v>
      </c>
      <c r="EB12" s="263">
        <v>0</v>
      </c>
      <c r="EC12" s="263">
        <v>0</v>
      </c>
      <c r="ED12" s="263">
        <v>0</v>
      </c>
      <c r="EE12" s="263">
        <v>0</v>
      </c>
      <c r="EF12" s="263">
        <v>0</v>
      </c>
      <c r="EG12" s="263">
        <v>0</v>
      </c>
      <c r="EH12" s="263">
        <v>0</v>
      </c>
      <c r="EI12" s="263">
        <v>0</v>
      </c>
      <c r="EJ12" s="263">
        <v>0</v>
      </c>
      <c r="EK12" s="263">
        <v>0</v>
      </c>
      <c r="EL12" s="263">
        <v>0</v>
      </c>
      <c r="EM12" s="263">
        <v>0</v>
      </c>
      <c r="EN12" s="263">
        <v>0</v>
      </c>
      <c r="EO12" s="263">
        <v>0</v>
      </c>
      <c r="EP12" s="263">
        <v>0</v>
      </c>
      <c r="EQ12" s="338"/>
      <c r="ER12" s="263"/>
    </row>
    <row r="13" spans="1:148" x14ac:dyDescent="0.3">
      <c r="A13" s="283">
        <v>6</v>
      </c>
      <c r="B13" s="156" t="s">
        <v>499</v>
      </c>
      <c r="C13" s="336" t="s">
        <v>492</v>
      </c>
      <c r="D13" s="337" t="s">
        <v>493</v>
      </c>
      <c r="E13" s="337" t="s">
        <v>419</v>
      </c>
      <c r="F13" s="337" t="s">
        <v>494</v>
      </c>
      <c r="G13" s="156">
        <v>0</v>
      </c>
      <c r="H13" s="156">
        <v>0</v>
      </c>
      <c r="I13" s="156">
        <v>0</v>
      </c>
      <c r="J13" s="156">
        <v>220</v>
      </c>
      <c r="K13" s="156">
        <v>0</v>
      </c>
      <c r="L13" s="283">
        <v>350</v>
      </c>
      <c r="M13" s="283">
        <v>700</v>
      </c>
      <c r="N13" s="156">
        <v>0</v>
      </c>
      <c r="O13" s="156">
        <v>0</v>
      </c>
      <c r="P13" s="156">
        <v>0</v>
      </c>
      <c r="Q13" s="156">
        <v>0</v>
      </c>
      <c r="R13" s="156">
        <v>0</v>
      </c>
      <c r="S13" s="156">
        <v>0</v>
      </c>
      <c r="T13" s="283">
        <v>0</v>
      </c>
      <c r="U13" s="283">
        <v>0</v>
      </c>
      <c r="V13" s="156">
        <v>0</v>
      </c>
      <c r="W13" s="156">
        <v>0</v>
      </c>
      <c r="X13" s="156">
        <v>0</v>
      </c>
      <c r="Y13" s="156">
        <v>0</v>
      </c>
      <c r="Z13" s="156">
        <v>0</v>
      </c>
      <c r="AA13" s="156">
        <v>0</v>
      </c>
      <c r="AB13" s="156">
        <v>0</v>
      </c>
      <c r="AC13" s="156">
        <v>0</v>
      </c>
      <c r="AD13" s="156">
        <v>0</v>
      </c>
      <c r="AE13" s="156">
        <v>0</v>
      </c>
      <c r="AF13" s="156">
        <v>0</v>
      </c>
      <c r="AG13" s="156">
        <v>0</v>
      </c>
      <c r="AH13" s="156">
        <v>0</v>
      </c>
      <c r="AI13" s="156">
        <v>0</v>
      </c>
      <c r="AJ13" s="156">
        <v>0</v>
      </c>
      <c r="AK13" s="156">
        <v>0</v>
      </c>
      <c r="AL13" s="156">
        <v>0</v>
      </c>
      <c r="AM13" s="156">
        <v>0</v>
      </c>
      <c r="AN13" s="156">
        <v>0</v>
      </c>
      <c r="AO13" s="156">
        <v>0</v>
      </c>
      <c r="AP13" s="156">
        <v>0</v>
      </c>
      <c r="AQ13" s="263">
        <v>0</v>
      </c>
      <c r="AR13" s="263">
        <v>0</v>
      </c>
      <c r="AS13" s="263">
        <v>0</v>
      </c>
      <c r="AT13" s="263">
        <v>0</v>
      </c>
      <c r="AU13" s="263">
        <v>0</v>
      </c>
      <c r="AV13" s="263">
        <v>0</v>
      </c>
      <c r="AW13" s="263">
        <v>0</v>
      </c>
      <c r="AX13" s="263">
        <v>0</v>
      </c>
      <c r="AY13" s="263">
        <v>0</v>
      </c>
      <c r="AZ13" s="263">
        <v>0</v>
      </c>
      <c r="BA13" s="263">
        <v>0</v>
      </c>
      <c r="BB13" s="263">
        <v>0</v>
      </c>
      <c r="BC13" s="263">
        <v>0</v>
      </c>
      <c r="BD13" s="263">
        <v>0</v>
      </c>
      <c r="BE13" s="263">
        <v>0</v>
      </c>
      <c r="BF13" s="263">
        <v>0</v>
      </c>
      <c r="BG13" s="263">
        <v>0</v>
      </c>
      <c r="BH13" s="263">
        <v>0</v>
      </c>
      <c r="BI13" s="263">
        <v>0</v>
      </c>
      <c r="BJ13" s="263">
        <v>0</v>
      </c>
      <c r="BK13" s="263">
        <v>0</v>
      </c>
      <c r="BL13" s="263">
        <v>0</v>
      </c>
      <c r="BM13" s="263">
        <v>0</v>
      </c>
      <c r="BN13" s="263">
        <v>0</v>
      </c>
      <c r="BO13" s="263">
        <v>0</v>
      </c>
      <c r="BP13" s="263">
        <v>0</v>
      </c>
      <c r="BQ13" s="263">
        <v>0</v>
      </c>
      <c r="BR13" s="263">
        <v>0</v>
      </c>
      <c r="BS13" s="263">
        <v>0</v>
      </c>
      <c r="BT13" s="263">
        <v>0</v>
      </c>
      <c r="BU13" s="263">
        <v>0</v>
      </c>
      <c r="BV13" s="263">
        <v>0</v>
      </c>
      <c r="BW13" s="263">
        <v>0</v>
      </c>
      <c r="BX13" s="263">
        <v>0</v>
      </c>
      <c r="BY13" s="263">
        <v>0</v>
      </c>
      <c r="BZ13" s="263">
        <v>0</v>
      </c>
      <c r="CA13" s="263">
        <v>0</v>
      </c>
      <c r="CB13" s="263">
        <v>0</v>
      </c>
      <c r="CC13" s="263">
        <v>0</v>
      </c>
      <c r="CD13" s="263">
        <v>0</v>
      </c>
      <c r="CE13" s="263">
        <v>0</v>
      </c>
      <c r="CF13" s="263">
        <v>0</v>
      </c>
      <c r="CG13" s="263">
        <v>0</v>
      </c>
      <c r="CH13" s="263">
        <v>0</v>
      </c>
      <c r="CI13" s="263">
        <v>0</v>
      </c>
      <c r="CJ13" s="263">
        <v>0</v>
      </c>
      <c r="CK13" s="263">
        <v>0</v>
      </c>
      <c r="CL13" s="283">
        <v>0</v>
      </c>
      <c r="CM13" s="283">
        <v>0</v>
      </c>
      <c r="CN13" s="283">
        <v>0</v>
      </c>
      <c r="CO13" s="283">
        <v>0</v>
      </c>
      <c r="CP13" s="283">
        <v>0</v>
      </c>
      <c r="CQ13" s="283">
        <v>0</v>
      </c>
      <c r="CR13" s="283">
        <v>0</v>
      </c>
      <c r="CS13" s="283">
        <v>0</v>
      </c>
      <c r="CT13" s="283">
        <v>0</v>
      </c>
      <c r="CU13" s="283">
        <v>0</v>
      </c>
      <c r="CV13" s="283">
        <v>0</v>
      </c>
      <c r="CW13" s="283">
        <v>0</v>
      </c>
      <c r="CX13" s="283">
        <v>0</v>
      </c>
      <c r="CY13" s="263">
        <v>0</v>
      </c>
      <c r="CZ13" s="263">
        <v>0</v>
      </c>
      <c r="DA13" s="263">
        <v>0</v>
      </c>
      <c r="DB13" s="263">
        <v>0</v>
      </c>
      <c r="DC13" s="263">
        <v>0</v>
      </c>
      <c r="DD13" s="263">
        <v>0</v>
      </c>
      <c r="DE13" s="263">
        <v>0</v>
      </c>
      <c r="DF13" s="263">
        <v>0</v>
      </c>
      <c r="DG13" s="263">
        <v>0</v>
      </c>
      <c r="DH13" s="263">
        <v>0</v>
      </c>
      <c r="DI13" s="263">
        <v>0</v>
      </c>
      <c r="DJ13" s="263">
        <v>0</v>
      </c>
      <c r="DK13" s="263">
        <v>0</v>
      </c>
      <c r="DL13" s="263">
        <v>0</v>
      </c>
      <c r="DM13" s="263">
        <v>0</v>
      </c>
      <c r="DN13" s="263">
        <v>0</v>
      </c>
      <c r="DO13" s="263">
        <v>0</v>
      </c>
      <c r="DP13" s="263">
        <v>0</v>
      </c>
      <c r="DQ13" s="263">
        <v>0</v>
      </c>
      <c r="DR13" s="263">
        <v>0</v>
      </c>
      <c r="DS13" s="263">
        <v>0</v>
      </c>
      <c r="DT13" s="263">
        <v>0</v>
      </c>
      <c r="DU13" s="263">
        <v>0</v>
      </c>
      <c r="DV13" s="263">
        <v>0</v>
      </c>
      <c r="DW13" s="263">
        <v>0</v>
      </c>
      <c r="DX13" s="263">
        <v>0</v>
      </c>
      <c r="DY13" s="263">
        <v>0</v>
      </c>
      <c r="DZ13" s="263">
        <v>0</v>
      </c>
      <c r="EA13" s="263">
        <v>0</v>
      </c>
      <c r="EB13" s="263">
        <v>0</v>
      </c>
      <c r="EC13" s="263">
        <v>0</v>
      </c>
      <c r="ED13" s="263">
        <v>0</v>
      </c>
      <c r="EE13" s="263">
        <v>0</v>
      </c>
      <c r="EF13" s="263">
        <v>0</v>
      </c>
      <c r="EG13" s="263">
        <v>0</v>
      </c>
      <c r="EH13" s="263">
        <v>0</v>
      </c>
      <c r="EI13" s="263">
        <v>0</v>
      </c>
      <c r="EJ13" s="263">
        <v>0</v>
      </c>
      <c r="EK13" s="263">
        <v>0</v>
      </c>
      <c r="EL13" s="263">
        <v>0</v>
      </c>
      <c r="EM13" s="263">
        <v>0</v>
      </c>
      <c r="EN13" s="263">
        <v>0</v>
      </c>
      <c r="EO13" s="263">
        <v>0</v>
      </c>
      <c r="EP13" s="263">
        <v>0</v>
      </c>
      <c r="EQ13" s="338"/>
      <c r="ER13" s="263"/>
    </row>
    <row r="14" spans="1:148" x14ac:dyDescent="0.3">
      <c r="A14" s="283">
        <v>7</v>
      </c>
      <c r="B14" s="156" t="s">
        <v>500</v>
      </c>
      <c r="C14" s="336" t="s">
        <v>501</v>
      </c>
      <c r="D14" s="337" t="s">
        <v>493</v>
      </c>
      <c r="E14" s="337" t="s">
        <v>412</v>
      </c>
      <c r="F14" s="337" t="s">
        <v>494</v>
      </c>
      <c r="G14" s="156">
        <v>0</v>
      </c>
      <c r="H14" s="156">
        <v>0</v>
      </c>
      <c r="I14" s="156">
        <v>0</v>
      </c>
      <c r="J14" s="156">
        <v>0</v>
      </c>
      <c r="K14" s="156">
        <v>0</v>
      </c>
      <c r="L14" s="283">
        <v>0</v>
      </c>
      <c r="M14" s="283">
        <v>800</v>
      </c>
      <c r="N14" s="156">
        <v>0</v>
      </c>
      <c r="O14" s="156">
        <v>0</v>
      </c>
      <c r="P14" s="156">
        <v>0</v>
      </c>
      <c r="Q14" s="156">
        <v>0</v>
      </c>
      <c r="R14" s="156">
        <v>0</v>
      </c>
      <c r="S14" s="156">
        <v>0</v>
      </c>
      <c r="T14" s="283">
        <v>0</v>
      </c>
      <c r="U14" s="283">
        <v>0</v>
      </c>
      <c r="V14" s="156">
        <v>0</v>
      </c>
      <c r="W14" s="156">
        <v>0</v>
      </c>
      <c r="X14" s="156">
        <v>0</v>
      </c>
      <c r="Y14" s="156">
        <v>0</v>
      </c>
      <c r="Z14" s="156">
        <v>0</v>
      </c>
      <c r="AA14" s="156">
        <v>0</v>
      </c>
      <c r="AB14" s="156">
        <v>0</v>
      </c>
      <c r="AC14" s="156">
        <v>0</v>
      </c>
      <c r="AD14" s="156">
        <v>0</v>
      </c>
      <c r="AE14" s="156">
        <v>0</v>
      </c>
      <c r="AF14" s="156">
        <v>0</v>
      </c>
      <c r="AG14" s="156">
        <v>0</v>
      </c>
      <c r="AH14" s="156">
        <v>0</v>
      </c>
      <c r="AI14" s="156">
        <v>0</v>
      </c>
      <c r="AJ14" s="156">
        <v>0</v>
      </c>
      <c r="AK14" s="156">
        <v>0</v>
      </c>
      <c r="AL14" s="156">
        <v>0</v>
      </c>
      <c r="AM14" s="156">
        <v>0</v>
      </c>
      <c r="AN14" s="156">
        <v>0</v>
      </c>
      <c r="AO14" s="156">
        <v>0</v>
      </c>
      <c r="AP14" s="156">
        <v>0</v>
      </c>
      <c r="AQ14" s="263">
        <v>0</v>
      </c>
      <c r="AR14" s="263">
        <v>0</v>
      </c>
      <c r="AS14" s="263">
        <v>0</v>
      </c>
      <c r="AT14" s="263">
        <v>0</v>
      </c>
      <c r="AU14" s="263">
        <v>0</v>
      </c>
      <c r="AV14" s="263">
        <v>0</v>
      </c>
      <c r="AW14" s="263">
        <v>0</v>
      </c>
      <c r="AX14" s="263">
        <v>0</v>
      </c>
      <c r="AY14" s="263">
        <v>0</v>
      </c>
      <c r="AZ14" s="263">
        <v>0</v>
      </c>
      <c r="BA14" s="263">
        <v>0</v>
      </c>
      <c r="BB14" s="263">
        <v>0</v>
      </c>
      <c r="BC14" s="263">
        <v>0</v>
      </c>
      <c r="BD14" s="263">
        <v>0</v>
      </c>
      <c r="BE14" s="263">
        <v>0</v>
      </c>
      <c r="BF14" s="263">
        <v>0</v>
      </c>
      <c r="BG14" s="263">
        <v>0</v>
      </c>
      <c r="BH14" s="263">
        <v>0</v>
      </c>
      <c r="BI14" s="263">
        <v>0</v>
      </c>
      <c r="BJ14" s="263">
        <v>0</v>
      </c>
      <c r="BK14" s="263">
        <v>0</v>
      </c>
      <c r="BL14" s="263">
        <v>0</v>
      </c>
      <c r="BM14" s="263">
        <v>0</v>
      </c>
      <c r="BN14" s="263">
        <v>0</v>
      </c>
      <c r="BO14" s="263">
        <v>0</v>
      </c>
      <c r="BP14" s="263">
        <v>0</v>
      </c>
      <c r="BQ14" s="263">
        <v>0</v>
      </c>
      <c r="BR14" s="263">
        <v>0</v>
      </c>
      <c r="BS14" s="263">
        <v>0</v>
      </c>
      <c r="BT14" s="263">
        <v>0</v>
      </c>
      <c r="BU14" s="263">
        <v>0</v>
      </c>
      <c r="BV14" s="263">
        <v>0</v>
      </c>
      <c r="BW14" s="263">
        <v>0</v>
      </c>
      <c r="BX14" s="263">
        <v>0</v>
      </c>
      <c r="BY14" s="263">
        <v>0</v>
      </c>
      <c r="BZ14" s="263">
        <v>0</v>
      </c>
      <c r="CA14" s="263">
        <v>0</v>
      </c>
      <c r="CB14" s="263">
        <v>0</v>
      </c>
      <c r="CC14" s="263">
        <v>0</v>
      </c>
      <c r="CD14" s="263">
        <v>0</v>
      </c>
      <c r="CE14" s="263">
        <v>0</v>
      </c>
      <c r="CF14" s="263">
        <v>0</v>
      </c>
      <c r="CG14" s="263">
        <v>0</v>
      </c>
      <c r="CH14" s="263">
        <v>0</v>
      </c>
      <c r="CI14" s="263">
        <v>0</v>
      </c>
      <c r="CJ14" s="263">
        <v>0</v>
      </c>
      <c r="CK14" s="263">
        <v>0</v>
      </c>
      <c r="CL14" s="283">
        <v>0</v>
      </c>
      <c r="CM14" s="283">
        <v>0</v>
      </c>
      <c r="CN14" s="283">
        <v>0</v>
      </c>
      <c r="CO14" s="283">
        <v>0</v>
      </c>
      <c r="CP14" s="283">
        <v>0</v>
      </c>
      <c r="CQ14" s="283">
        <v>0</v>
      </c>
      <c r="CR14" s="283">
        <v>0</v>
      </c>
      <c r="CS14" s="283">
        <v>0</v>
      </c>
      <c r="CT14" s="283">
        <v>0</v>
      </c>
      <c r="CU14" s="283">
        <v>0</v>
      </c>
      <c r="CV14" s="283">
        <v>0</v>
      </c>
      <c r="CW14" s="283">
        <v>0</v>
      </c>
      <c r="CX14" s="283">
        <v>0</v>
      </c>
      <c r="CY14" s="263">
        <v>0</v>
      </c>
      <c r="CZ14" s="263">
        <v>0</v>
      </c>
      <c r="DA14" s="263">
        <v>0</v>
      </c>
      <c r="DB14" s="263">
        <v>0</v>
      </c>
      <c r="DC14" s="263">
        <v>0</v>
      </c>
      <c r="DD14" s="263">
        <v>0</v>
      </c>
      <c r="DE14" s="263">
        <v>0</v>
      </c>
      <c r="DF14" s="263">
        <v>0</v>
      </c>
      <c r="DG14" s="263">
        <v>0</v>
      </c>
      <c r="DH14" s="263">
        <v>0</v>
      </c>
      <c r="DI14" s="263">
        <v>0</v>
      </c>
      <c r="DJ14" s="263">
        <v>0</v>
      </c>
      <c r="DK14" s="263">
        <v>0</v>
      </c>
      <c r="DL14" s="263">
        <v>8</v>
      </c>
      <c r="DM14" s="263">
        <v>0</v>
      </c>
      <c r="DN14" s="263">
        <v>0</v>
      </c>
      <c r="DO14" s="263">
        <v>0</v>
      </c>
      <c r="DP14" s="263">
        <v>0</v>
      </c>
      <c r="DQ14" s="263">
        <v>0</v>
      </c>
      <c r="DR14" s="263">
        <v>0</v>
      </c>
      <c r="DS14" s="263">
        <v>0</v>
      </c>
      <c r="DT14" s="263">
        <v>0</v>
      </c>
      <c r="DU14" s="263">
        <v>0</v>
      </c>
      <c r="DV14" s="263">
        <v>0</v>
      </c>
      <c r="DW14" s="263">
        <v>0</v>
      </c>
      <c r="DX14" s="263">
        <v>0</v>
      </c>
      <c r="DY14" s="263">
        <v>0</v>
      </c>
      <c r="DZ14" s="263">
        <v>0</v>
      </c>
      <c r="EA14" s="263">
        <v>0</v>
      </c>
      <c r="EB14" s="263">
        <v>0</v>
      </c>
      <c r="EC14" s="263">
        <v>0</v>
      </c>
      <c r="ED14" s="263">
        <v>0</v>
      </c>
      <c r="EE14" s="263">
        <v>0</v>
      </c>
      <c r="EF14" s="263">
        <v>0</v>
      </c>
      <c r="EG14" s="263">
        <v>0</v>
      </c>
      <c r="EH14" s="263">
        <v>0</v>
      </c>
      <c r="EI14" s="263">
        <v>0</v>
      </c>
      <c r="EJ14" s="263">
        <v>0</v>
      </c>
      <c r="EK14" s="263">
        <v>0</v>
      </c>
      <c r="EL14" s="263">
        <v>0</v>
      </c>
      <c r="EM14" s="263">
        <v>0</v>
      </c>
      <c r="EN14" s="263">
        <v>0</v>
      </c>
      <c r="EO14" s="263">
        <v>0</v>
      </c>
      <c r="EP14" s="263">
        <v>0</v>
      </c>
      <c r="EQ14" s="338"/>
      <c r="ER14" s="263"/>
    </row>
    <row r="15" spans="1:148" x14ac:dyDescent="0.3">
      <c r="A15" s="283">
        <v>8</v>
      </c>
      <c r="B15" s="156" t="s">
        <v>502</v>
      </c>
      <c r="C15" s="336" t="s">
        <v>501</v>
      </c>
      <c r="D15" s="337" t="s">
        <v>493</v>
      </c>
      <c r="E15" s="337" t="s">
        <v>414</v>
      </c>
      <c r="F15" s="337" t="s">
        <v>494</v>
      </c>
      <c r="G15" s="156">
        <v>0</v>
      </c>
      <c r="H15" s="156">
        <v>0</v>
      </c>
      <c r="I15" s="156">
        <v>0</v>
      </c>
      <c r="J15" s="156">
        <v>0</v>
      </c>
      <c r="K15" s="156">
        <v>0</v>
      </c>
      <c r="L15" s="283">
        <v>200</v>
      </c>
      <c r="M15" s="283">
        <v>500</v>
      </c>
      <c r="N15" s="156">
        <v>0</v>
      </c>
      <c r="O15" s="156">
        <v>0</v>
      </c>
      <c r="P15" s="156">
        <v>0</v>
      </c>
      <c r="Q15" s="156">
        <v>0</v>
      </c>
      <c r="R15" s="156">
        <v>0</v>
      </c>
      <c r="S15" s="156">
        <v>0</v>
      </c>
      <c r="T15" s="283">
        <v>0</v>
      </c>
      <c r="U15" s="283">
        <v>0</v>
      </c>
      <c r="V15" s="156">
        <v>0</v>
      </c>
      <c r="W15" s="156">
        <v>0</v>
      </c>
      <c r="X15" s="156">
        <v>0</v>
      </c>
      <c r="Y15" s="156">
        <v>0</v>
      </c>
      <c r="Z15" s="156">
        <v>0</v>
      </c>
      <c r="AA15" s="156">
        <v>0</v>
      </c>
      <c r="AB15" s="156">
        <v>0</v>
      </c>
      <c r="AC15" s="156">
        <v>0</v>
      </c>
      <c r="AD15" s="156">
        <v>0</v>
      </c>
      <c r="AE15" s="156">
        <v>0</v>
      </c>
      <c r="AF15" s="156">
        <v>0</v>
      </c>
      <c r="AG15" s="156">
        <v>0</v>
      </c>
      <c r="AH15" s="156">
        <v>0</v>
      </c>
      <c r="AI15" s="156">
        <v>0</v>
      </c>
      <c r="AJ15" s="156">
        <v>0</v>
      </c>
      <c r="AK15" s="156">
        <v>0</v>
      </c>
      <c r="AL15" s="156">
        <v>0</v>
      </c>
      <c r="AM15" s="156">
        <v>0</v>
      </c>
      <c r="AN15" s="156">
        <v>0</v>
      </c>
      <c r="AO15" s="156">
        <v>0</v>
      </c>
      <c r="AP15" s="156">
        <v>0</v>
      </c>
      <c r="AQ15" s="263">
        <v>0</v>
      </c>
      <c r="AR15" s="263">
        <v>0</v>
      </c>
      <c r="AS15" s="263">
        <v>0</v>
      </c>
      <c r="AT15" s="263">
        <v>0</v>
      </c>
      <c r="AU15" s="263">
        <v>0</v>
      </c>
      <c r="AV15" s="263">
        <v>0</v>
      </c>
      <c r="AW15" s="263">
        <v>0</v>
      </c>
      <c r="AX15" s="263">
        <v>0</v>
      </c>
      <c r="AY15" s="263">
        <v>0</v>
      </c>
      <c r="AZ15" s="263">
        <v>0</v>
      </c>
      <c r="BA15" s="263">
        <v>0</v>
      </c>
      <c r="BB15" s="263">
        <v>0</v>
      </c>
      <c r="BC15" s="263">
        <v>0</v>
      </c>
      <c r="BD15" s="263">
        <v>0</v>
      </c>
      <c r="BE15" s="263">
        <v>0</v>
      </c>
      <c r="BF15" s="263">
        <v>0</v>
      </c>
      <c r="BG15" s="263">
        <v>0</v>
      </c>
      <c r="BH15" s="263">
        <v>0</v>
      </c>
      <c r="BI15" s="263">
        <v>0</v>
      </c>
      <c r="BJ15" s="263">
        <v>0</v>
      </c>
      <c r="BK15" s="263">
        <v>0</v>
      </c>
      <c r="BL15" s="263">
        <v>0</v>
      </c>
      <c r="BM15" s="263">
        <v>0</v>
      </c>
      <c r="BN15" s="263">
        <v>0</v>
      </c>
      <c r="BO15" s="263">
        <v>0</v>
      </c>
      <c r="BP15" s="263">
        <v>0</v>
      </c>
      <c r="BQ15" s="263">
        <v>0</v>
      </c>
      <c r="BR15" s="263">
        <v>0</v>
      </c>
      <c r="BS15" s="263">
        <v>0</v>
      </c>
      <c r="BT15" s="263">
        <v>0</v>
      </c>
      <c r="BU15" s="263">
        <v>0</v>
      </c>
      <c r="BV15" s="263">
        <v>0</v>
      </c>
      <c r="BW15" s="263">
        <v>0</v>
      </c>
      <c r="BX15" s="263">
        <v>0</v>
      </c>
      <c r="BY15" s="263">
        <v>0</v>
      </c>
      <c r="BZ15" s="263">
        <v>0</v>
      </c>
      <c r="CA15" s="263">
        <v>0</v>
      </c>
      <c r="CB15" s="263">
        <v>0</v>
      </c>
      <c r="CC15" s="263">
        <v>0</v>
      </c>
      <c r="CD15" s="263">
        <v>0</v>
      </c>
      <c r="CE15" s="263">
        <v>0</v>
      </c>
      <c r="CF15" s="263">
        <v>0</v>
      </c>
      <c r="CG15" s="263">
        <v>0</v>
      </c>
      <c r="CH15" s="263">
        <v>0</v>
      </c>
      <c r="CI15" s="263">
        <v>0</v>
      </c>
      <c r="CJ15" s="263">
        <v>0</v>
      </c>
      <c r="CK15" s="263">
        <v>0</v>
      </c>
      <c r="CL15" s="283">
        <v>0</v>
      </c>
      <c r="CM15" s="283">
        <v>0</v>
      </c>
      <c r="CN15" s="283">
        <v>0</v>
      </c>
      <c r="CO15" s="283">
        <v>0</v>
      </c>
      <c r="CP15" s="283">
        <v>0</v>
      </c>
      <c r="CQ15" s="283">
        <v>0</v>
      </c>
      <c r="CR15" s="283">
        <v>0</v>
      </c>
      <c r="CS15" s="283">
        <v>0</v>
      </c>
      <c r="CT15" s="283">
        <v>0</v>
      </c>
      <c r="CU15" s="283">
        <v>0</v>
      </c>
      <c r="CV15" s="283">
        <v>0</v>
      </c>
      <c r="CW15" s="283">
        <v>0</v>
      </c>
      <c r="CX15" s="283">
        <v>0</v>
      </c>
      <c r="CY15" s="263">
        <v>0</v>
      </c>
      <c r="CZ15" s="263">
        <v>0</v>
      </c>
      <c r="DA15" s="263">
        <v>0</v>
      </c>
      <c r="DB15" s="263">
        <v>0</v>
      </c>
      <c r="DC15" s="263">
        <v>0</v>
      </c>
      <c r="DD15" s="263">
        <v>0</v>
      </c>
      <c r="DE15" s="263">
        <v>0</v>
      </c>
      <c r="DF15" s="263">
        <v>0</v>
      </c>
      <c r="DG15" s="263">
        <v>0</v>
      </c>
      <c r="DH15" s="263">
        <v>0</v>
      </c>
      <c r="DI15" s="263">
        <v>0</v>
      </c>
      <c r="DJ15" s="263">
        <v>0</v>
      </c>
      <c r="DK15" s="263">
        <v>0</v>
      </c>
      <c r="DL15" s="263">
        <v>14</v>
      </c>
      <c r="DM15" s="263">
        <v>0</v>
      </c>
      <c r="DN15" s="263">
        <v>0</v>
      </c>
      <c r="DO15" s="263">
        <v>0</v>
      </c>
      <c r="DP15" s="263">
        <v>0</v>
      </c>
      <c r="DQ15" s="263">
        <v>0</v>
      </c>
      <c r="DR15" s="263">
        <v>0</v>
      </c>
      <c r="DS15" s="263">
        <v>0</v>
      </c>
      <c r="DT15" s="263">
        <v>0</v>
      </c>
      <c r="DU15" s="263">
        <v>0</v>
      </c>
      <c r="DV15" s="263">
        <v>0</v>
      </c>
      <c r="DW15" s="263">
        <v>0</v>
      </c>
      <c r="DX15" s="263">
        <v>0</v>
      </c>
      <c r="DY15" s="263">
        <v>0</v>
      </c>
      <c r="DZ15" s="263">
        <v>0</v>
      </c>
      <c r="EA15" s="263">
        <v>0</v>
      </c>
      <c r="EB15" s="263">
        <v>0</v>
      </c>
      <c r="EC15" s="263">
        <v>0</v>
      </c>
      <c r="ED15" s="263">
        <v>0</v>
      </c>
      <c r="EE15" s="263">
        <v>0</v>
      </c>
      <c r="EF15" s="263">
        <v>0</v>
      </c>
      <c r="EG15" s="263">
        <v>0</v>
      </c>
      <c r="EH15" s="263">
        <v>0</v>
      </c>
      <c r="EI15" s="263">
        <v>0</v>
      </c>
      <c r="EJ15" s="263">
        <v>0</v>
      </c>
      <c r="EK15" s="263">
        <v>0</v>
      </c>
      <c r="EL15" s="263">
        <v>0</v>
      </c>
      <c r="EM15" s="263">
        <v>0</v>
      </c>
      <c r="EN15" s="263">
        <v>0</v>
      </c>
      <c r="EO15" s="263">
        <v>0</v>
      </c>
      <c r="EP15" s="263">
        <v>0</v>
      </c>
      <c r="EQ15" s="338"/>
      <c r="ER15" s="263"/>
    </row>
    <row r="16" spans="1:148" x14ac:dyDescent="0.3">
      <c r="A16" s="283">
        <v>9</v>
      </c>
      <c r="B16" s="156" t="s">
        <v>503</v>
      </c>
      <c r="C16" s="336" t="s">
        <v>501</v>
      </c>
      <c r="D16" s="337" t="s">
        <v>493</v>
      </c>
      <c r="E16" s="337" t="s">
        <v>416</v>
      </c>
      <c r="F16" s="337" t="s">
        <v>494</v>
      </c>
      <c r="G16" s="156">
        <v>0</v>
      </c>
      <c r="H16" s="156">
        <v>0</v>
      </c>
      <c r="I16" s="156">
        <v>0</v>
      </c>
      <c r="J16" s="156">
        <v>0</v>
      </c>
      <c r="K16" s="156">
        <v>0</v>
      </c>
      <c r="L16" s="283">
        <v>110</v>
      </c>
      <c r="M16" s="283">
        <v>120</v>
      </c>
      <c r="N16" s="156">
        <v>0</v>
      </c>
      <c r="O16" s="156">
        <v>0</v>
      </c>
      <c r="P16" s="156">
        <v>0</v>
      </c>
      <c r="Q16" s="156">
        <v>0</v>
      </c>
      <c r="R16" s="156">
        <v>0</v>
      </c>
      <c r="S16" s="156">
        <v>0</v>
      </c>
      <c r="T16" s="283">
        <v>0</v>
      </c>
      <c r="U16" s="283">
        <v>0</v>
      </c>
      <c r="V16" s="156">
        <v>0</v>
      </c>
      <c r="W16" s="156">
        <v>0</v>
      </c>
      <c r="X16" s="156">
        <v>0</v>
      </c>
      <c r="Y16" s="156">
        <v>0</v>
      </c>
      <c r="Z16" s="156">
        <v>0</v>
      </c>
      <c r="AA16" s="156">
        <v>0</v>
      </c>
      <c r="AB16" s="156">
        <v>0</v>
      </c>
      <c r="AC16" s="156">
        <v>0</v>
      </c>
      <c r="AD16" s="156">
        <v>0</v>
      </c>
      <c r="AE16" s="156">
        <v>0</v>
      </c>
      <c r="AF16" s="156">
        <v>0</v>
      </c>
      <c r="AG16" s="156">
        <v>0</v>
      </c>
      <c r="AH16" s="156">
        <v>0</v>
      </c>
      <c r="AI16" s="156">
        <v>0</v>
      </c>
      <c r="AJ16" s="156">
        <v>0</v>
      </c>
      <c r="AK16" s="156">
        <v>0</v>
      </c>
      <c r="AL16" s="156">
        <v>0</v>
      </c>
      <c r="AM16" s="156">
        <v>0</v>
      </c>
      <c r="AN16" s="156">
        <v>0</v>
      </c>
      <c r="AO16" s="156">
        <v>0</v>
      </c>
      <c r="AP16" s="156">
        <v>0</v>
      </c>
      <c r="AQ16" s="263">
        <v>0</v>
      </c>
      <c r="AR16" s="263">
        <v>0</v>
      </c>
      <c r="AS16" s="263">
        <v>0</v>
      </c>
      <c r="AT16" s="263">
        <v>0</v>
      </c>
      <c r="AU16" s="263">
        <v>0</v>
      </c>
      <c r="AV16" s="263">
        <v>0</v>
      </c>
      <c r="AW16" s="263">
        <v>0</v>
      </c>
      <c r="AX16" s="263">
        <v>0</v>
      </c>
      <c r="AY16" s="263">
        <v>0</v>
      </c>
      <c r="AZ16" s="263">
        <v>0</v>
      </c>
      <c r="BA16" s="263">
        <v>0</v>
      </c>
      <c r="BB16" s="263">
        <v>0</v>
      </c>
      <c r="BC16" s="263">
        <v>0</v>
      </c>
      <c r="BD16" s="263">
        <v>0</v>
      </c>
      <c r="BE16" s="263">
        <v>0</v>
      </c>
      <c r="BF16" s="263">
        <v>0</v>
      </c>
      <c r="BG16" s="263">
        <v>0</v>
      </c>
      <c r="BH16" s="263">
        <v>0</v>
      </c>
      <c r="BI16" s="263">
        <v>0</v>
      </c>
      <c r="BJ16" s="263">
        <v>0</v>
      </c>
      <c r="BK16" s="263">
        <v>0</v>
      </c>
      <c r="BL16" s="263">
        <v>0</v>
      </c>
      <c r="BM16" s="263">
        <v>0</v>
      </c>
      <c r="BN16" s="263">
        <v>0</v>
      </c>
      <c r="BO16" s="263">
        <v>0</v>
      </c>
      <c r="BP16" s="263">
        <v>0</v>
      </c>
      <c r="BQ16" s="263">
        <v>0</v>
      </c>
      <c r="BR16" s="263">
        <v>0</v>
      </c>
      <c r="BS16" s="263">
        <v>0</v>
      </c>
      <c r="BT16" s="263">
        <v>0</v>
      </c>
      <c r="BU16" s="263">
        <v>0</v>
      </c>
      <c r="BV16" s="263">
        <v>0</v>
      </c>
      <c r="BW16" s="263">
        <v>0</v>
      </c>
      <c r="BX16" s="263">
        <v>0</v>
      </c>
      <c r="BY16" s="263">
        <v>0</v>
      </c>
      <c r="BZ16" s="263">
        <v>0</v>
      </c>
      <c r="CA16" s="263">
        <v>0</v>
      </c>
      <c r="CB16" s="263">
        <v>0</v>
      </c>
      <c r="CC16" s="263">
        <v>0</v>
      </c>
      <c r="CD16" s="263">
        <v>0</v>
      </c>
      <c r="CE16" s="263">
        <v>0</v>
      </c>
      <c r="CF16" s="263">
        <v>0</v>
      </c>
      <c r="CG16" s="263">
        <v>0</v>
      </c>
      <c r="CH16" s="263">
        <v>0</v>
      </c>
      <c r="CI16" s="263">
        <v>0</v>
      </c>
      <c r="CJ16" s="263">
        <v>0</v>
      </c>
      <c r="CK16" s="263">
        <v>0</v>
      </c>
      <c r="CL16" s="283">
        <v>0</v>
      </c>
      <c r="CM16" s="283">
        <v>0</v>
      </c>
      <c r="CN16" s="283">
        <v>0</v>
      </c>
      <c r="CO16" s="283">
        <v>0</v>
      </c>
      <c r="CP16" s="283">
        <v>0</v>
      </c>
      <c r="CQ16" s="283">
        <v>0</v>
      </c>
      <c r="CR16" s="283">
        <v>0</v>
      </c>
      <c r="CS16" s="283">
        <v>0</v>
      </c>
      <c r="CT16" s="283">
        <v>0</v>
      </c>
      <c r="CU16" s="283">
        <v>0</v>
      </c>
      <c r="CV16" s="283">
        <v>0</v>
      </c>
      <c r="CW16" s="283">
        <v>0</v>
      </c>
      <c r="CX16" s="283">
        <v>0</v>
      </c>
      <c r="CY16" s="263">
        <v>0</v>
      </c>
      <c r="CZ16" s="263">
        <v>0</v>
      </c>
      <c r="DA16" s="263">
        <v>0</v>
      </c>
      <c r="DB16" s="263">
        <v>0</v>
      </c>
      <c r="DC16" s="263">
        <v>0</v>
      </c>
      <c r="DD16" s="263">
        <v>0</v>
      </c>
      <c r="DE16" s="263">
        <v>0</v>
      </c>
      <c r="DF16" s="263">
        <v>0</v>
      </c>
      <c r="DG16" s="263">
        <v>0</v>
      </c>
      <c r="DH16" s="263">
        <v>0</v>
      </c>
      <c r="DI16" s="263">
        <v>0</v>
      </c>
      <c r="DJ16" s="263">
        <v>0</v>
      </c>
      <c r="DK16" s="263">
        <v>0</v>
      </c>
      <c r="DL16" s="263">
        <v>13</v>
      </c>
      <c r="DM16" s="263">
        <v>0</v>
      </c>
      <c r="DN16" s="263">
        <v>0</v>
      </c>
      <c r="DO16" s="263">
        <v>0</v>
      </c>
      <c r="DP16" s="263">
        <v>0</v>
      </c>
      <c r="DQ16" s="263">
        <v>0</v>
      </c>
      <c r="DR16" s="263">
        <v>0</v>
      </c>
      <c r="DS16" s="263">
        <v>0</v>
      </c>
      <c r="DT16" s="263">
        <v>0</v>
      </c>
      <c r="DU16" s="263">
        <v>0</v>
      </c>
      <c r="DV16" s="263">
        <v>0</v>
      </c>
      <c r="DW16" s="263">
        <v>0</v>
      </c>
      <c r="DX16" s="263">
        <v>0</v>
      </c>
      <c r="DY16" s="263">
        <v>0</v>
      </c>
      <c r="DZ16" s="263">
        <v>0</v>
      </c>
      <c r="EA16" s="263">
        <v>0</v>
      </c>
      <c r="EB16" s="263">
        <v>0</v>
      </c>
      <c r="EC16" s="263">
        <v>0</v>
      </c>
      <c r="ED16" s="263">
        <v>0</v>
      </c>
      <c r="EE16" s="263">
        <v>0</v>
      </c>
      <c r="EF16" s="263">
        <v>0</v>
      </c>
      <c r="EG16" s="263">
        <v>0</v>
      </c>
      <c r="EH16" s="263">
        <v>0</v>
      </c>
      <c r="EI16" s="263">
        <v>0</v>
      </c>
      <c r="EJ16" s="263">
        <v>0</v>
      </c>
      <c r="EK16" s="263">
        <v>0</v>
      </c>
      <c r="EL16" s="263">
        <v>0</v>
      </c>
      <c r="EM16" s="263">
        <v>0</v>
      </c>
      <c r="EN16" s="263">
        <v>0</v>
      </c>
      <c r="EO16" s="263">
        <v>0</v>
      </c>
      <c r="EP16" s="263">
        <v>0</v>
      </c>
      <c r="EQ16" s="338"/>
      <c r="ER16" s="263"/>
    </row>
    <row r="17" spans="1:146" x14ac:dyDescent="0.3">
      <c r="A17" s="283">
        <v>10</v>
      </c>
      <c r="B17" s="156" t="s">
        <v>504</v>
      </c>
      <c r="C17" s="336" t="s">
        <v>501</v>
      </c>
      <c r="D17" s="337" t="s">
        <v>493</v>
      </c>
      <c r="E17" s="337" t="s">
        <v>414</v>
      </c>
      <c r="F17" s="337" t="s">
        <v>494</v>
      </c>
      <c r="G17" s="156">
        <v>0</v>
      </c>
      <c r="H17" s="156">
        <v>0</v>
      </c>
      <c r="I17" s="156">
        <v>0</v>
      </c>
      <c r="J17" s="156">
        <v>0</v>
      </c>
      <c r="K17" s="156">
        <v>0</v>
      </c>
      <c r="L17" s="283">
        <v>300</v>
      </c>
      <c r="M17" s="283">
        <v>300</v>
      </c>
      <c r="N17" s="156">
        <v>0</v>
      </c>
      <c r="O17" s="156">
        <v>0</v>
      </c>
      <c r="P17" s="156">
        <v>0</v>
      </c>
      <c r="Q17" s="156">
        <v>0</v>
      </c>
      <c r="R17" s="156">
        <v>0</v>
      </c>
      <c r="S17" s="156">
        <v>0</v>
      </c>
      <c r="T17" s="283">
        <v>0</v>
      </c>
      <c r="U17" s="283">
        <v>0</v>
      </c>
      <c r="V17" s="156">
        <v>0</v>
      </c>
      <c r="W17" s="156">
        <v>0</v>
      </c>
      <c r="X17" s="156">
        <v>0</v>
      </c>
      <c r="Y17" s="156">
        <v>0</v>
      </c>
      <c r="Z17" s="156">
        <v>0</v>
      </c>
      <c r="AA17" s="156">
        <v>0</v>
      </c>
      <c r="AB17" s="156">
        <v>0</v>
      </c>
      <c r="AC17" s="156">
        <v>0</v>
      </c>
      <c r="AD17" s="156">
        <v>0</v>
      </c>
      <c r="AE17" s="156">
        <v>0</v>
      </c>
      <c r="AF17" s="156">
        <v>0</v>
      </c>
      <c r="AG17" s="156">
        <v>0</v>
      </c>
      <c r="AH17" s="156">
        <v>0</v>
      </c>
      <c r="AI17" s="156">
        <v>0</v>
      </c>
      <c r="AJ17" s="156">
        <v>0</v>
      </c>
      <c r="AK17" s="156">
        <v>0</v>
      </c>
      <c r="AL17" s="156">
        <v>0</v>
      </c>
      <c r="AM17" s="156">
        <v>0</v>
      </c>
      <c r="AN17" s="156">
        <v>0</v>
      </c>
      <c r="AO17" s="156">
        <v>0</v>
      </c>
      <c r="AP17" s="156">
        <v>0</v>
      </c>
      <c r="AQ17" s="263">
        <v>0</v>
      </c>
      <c r="AR17" s="263">
        <v>0</v>
      </c>
      <c r="AS17" s="263">
        <v>0</v>
      </c>
      <c r="AT17" s="263">
        <v>0</v>
      </c>
      <c r="AU17" s="263">
        <v>0</v>
      </c>
      <c r="AV17" s="263">
        <v>0</v>
      </c>
      <c r="AW17" s="263">
        <v>0</v>
      </c>
      <c r="AX17" s="263">
        <v>0</v>
      </c>
      <c r="AY17" s="263">
        <v>0</v>
      </c>
      <c r="AZ17" s="263">
        <v>0</v>
      </c>
      <c r="BA17" s="263">
        <v>0</v>
      </c>
      <c r="BB17" s="263">
        <v>0</v>
      </c>
      <c r="BC17" s="263">
        <v>0</v>
      </c>
      <c r="BD17" s="263">
        <v>0</v>
      </c>
      <c r="BE17" s="263">
        <v>0</v>
      </c>
      <c r="BF17" s="263">
        <v>0</v>
      </c>
      <c r="BG17" s="263">
        <v>0</v>
      </c>
      <c r="BH17" s="263">
        <v>0</v>
      </c>
      <c r="BI17" s="263">
        <v>0</v>
      </c>
      <c r="BJ17" s="263">
        <v>0</v>
      </c>
      <c r="BK17" s="263">
        <v>0</v>
      </c>
      <c r="BL17" s="263">
        <v>0</v>
      </c>
      <c r="BM17" s="263">
        <v>0</v>
      </c>
      <c r="BN17" s="263">
        <v>0</v>
      </c>
      <c r="BO17" s="263">
        <v>0</v>
      </c>
      <c r="BP17" s="263">
        <v>0</v>
      </c>
      <c r="BQ17" s="263">
        <v>0</v>
      </c>
      <c r="BR17" s="263">
        <v>0</v>
      </c>
      <c r="BS17" s="263">
        <v>0</v>
      </c>
      <c r="BT17" s="263">
        <v>0</v>
      </c>
      <c r="BU17" s="263">
        <v>0</v>
      </c>
      <c r="BV17" s="263">
        <v>0</v>
      </c>
      <c r="BW17" s="263">
        <v>0</v>
      </c>
      <c r="BX17" s="263">
        <v>0</v>
      </c>
      <c r="BY17" s="263">
        <v>0</v>
      </c>
      <c r="BZ17" s="263">
        <v>0</v>
      </c>
      <c r="CA17" s="263">
        <v>0</v>
      </c>
      <c r="CB17" s="263">
        <v>0</v>
      </c>
      <c r="CC17" s="263">
        <v>0</v>
      </c>
      <c r="CD17" s="263">
        <v>0</v>
      </c>
      <c r="CE17" s="263">
        <v>0</v>
      </c>
      <c r="CF17" s="263">
        <v>0</v>
      </c>
      <c r="CG17" s="263">
        <v>0</v>
      </c>
      <c r="CH17" s="263">
        <v>0</v>
      </c>
      <c r="CI17" s="263">
        <v>0</v>
      </c>
      <c r="CJ17" s="263">
        <v>0</v>
      </c>
      <c r="CK17" s="263">
        <v>0</v>
      </c>
      <c r="CL17" s="283">
        <v>0</v>
      </c>
      <c r="CM17" s="283">
        <v>0</v>
      </c>
      <c r="CN17" s="283">
        <v>0</v>
      </c>
      <c r="CO17" s="283">
        <v>0</v>
      </c>
      <c r="CP17" s="283">
        <v>0</v>
      </c>
      <c r="CQ17" s="283">
        <v>0</v>
      </c>
      <c r="CR17" s="283">
        <v>0</v>
      </c>
      <c r="CS17" s="283">
        <v>0</v>
      </c>
      <c r="CT17" s="283">
        <v>0</v>
      </c>
      <c r="CU17" s="283">
        <v>0</v>
      </c>
      <c r="CV17" s="283">
        <v>0</v>
      </c>
      <c r="CW17" s="283">
        <v>0</v>
      </c>
      <c r="CX17" s="283">
        <v>0</v>
      </c>
      <c r="CY17" s="263">
        <v>0</v>
      </c>
      <c r="CZ17" s="263">
        <v>0</v>
      </c>
      <c r="DA17" s="263">
        <v>0</v>
      </c>
      <c r="DB17" s="263">
        <v>0</v>
      </c>
      <c r="DC17" s="263">
        <v>0</v>
      </c>
      <c r="DD17" s="263">
        <v>0</v>
      </c>
      <c r="DE17" s="263">
        <v>0</v>
      </c>
      <c r="DF17" s="263">
        <v>0</v>
      </c>
      <c r="DG17" s="263">
        <v>0</v>
      </c>
      <c r="DH17" s="263">
        <v>0</v>
      </c>
      <c r="DI17" s="263">
        <v>0</v>
      </c>
      <c r="DJ17" s="263">
        <v>0</v>
      </c>
      <c r="DK17" s="263">
        <v>0</v>
      </c>
      <c r="DL17" s="263">
        <v>16</v>
      </c>
      <c r="DM17" s="263">
        <v>0</v>
      </c>
      <c r="DN17" s="263">
        <v>0</v>
      </c>
      <c r="DO17" s="263">
        <v>0</v>
      </c>
      <c r="DP17" s="263">
        <v>0</v>
      </c>
      <c r="DQ17" s="263">
        <v>0</v>
      </c>
      <c r="DR17" s="263">
        <v>0</v>
      </c>
      <c r="DS17" s="263">
        <v>0</v>
      </c>
      <c r="DT17" s="263">
        <v>0</v>
      </c>
      <c r="DU17" s="263">
        <v>0</v>
      </c>
      <c r="DV17" s="263">
        <v>0</v>
      </c>
      <c r="DW17" s="263">
        <v>0</v>
      </c>
      <c r="DX17" s="263">
        <v>0</v>
      </c>
      <c r="DY17" s="263">
        <v>0</v>
      </c>
      <c r="DZ17" s="263">
        <v>0</v>
      </c>
      <c r="EA17" s="263">
        <v>0</v>
      </c>
      <c r="EB17" s="263">
        <v>0</v>
      </c>
      <c r="EC17" s="263">
        <v>0</v>
      </c>
      <c r="ED17" s="263">
        <v>0</v>
      </c>
      <c r="EE17" s="263">
        <v>0</v>
      </c>
      <c r="EF17" s="263">
        <v>0</v>
      </c>
      <c r="EG17" s="263">
        <v>0</v>
      </c>
      <c r="EH17" s="263">
        <v>0</v>
      </c>
      <c r="EI17" s="263">
        <v>0</v>
      </c>
      <c r="EJ17" s="263">
        <v>0</v>
      </c>
      <c r="EK17" s="263">
        <v>0</v>
      </c>
      <c r="EL17" s="263">
        <v>0</v>
      </c>
      <c r="EM17" s="263">
        <v>0</v>
      </c>
      <c r="EN17" s="263">
        <v>0</v>
      </c>
      <c r="EO17" s="263">
        <v>0</v>
      </c>
      <c r="EP17" s="263">
        <v>0</v>
      </c>
    </row>
  </sheetData>
  <dataConsolidate/>
  <mergeCells count="5">
    <mergeCell ref="C6:E6"/>
    <mergeCell ref="C2:E2"/>
    <mergeCell ref="C3:E3"/>
    <mergeCell ref="C4:E4"/>
    <mergeCell ref="C5:E5"/>
  </mergeCells>
  <phoneticPr fontId="2" type="noConversion"/>
  <dataValidations count="6">
    <dataValidation errorStyle="warning" operator="greaterThanOrEqual" allowBlank="1" showInputMessage="1" showErrorMessage="1" errorTitle="SizeGEzero" error="Size must be greater than or equal to zero." sqref="CY8:ER65536 G8:CK65536" xr:uid="{8DE9561C-B326-47EC-8024-2FFD1BEFA5D1}"/>
    <dataValidation allowBlank="1" showInputMessage="1" showErrorMessage="1" promptTitle="Assembly or Part Name" prompt="Enter the name of the assembly, sub-assembly, or part. Duplicate names are allowed if size measure is unique." sqref="B7" xr:uid="{D1F69106-471A-4245-9EF1-CA86E1402469}"/>
    <dataValidation allowBlank="1" showInputMessage="1" showErrorMessage="1" promptTitle="Assembly (A) or Part (P) flag" prompt="Click the right mouse button and select A for an assembly, the default, or P for a part." sqref="C7" xr:uid="{BADC3D48-E807-4215-8ABD-4164AC2EC0C7}"/>
    <dataValidation allowBlank="1" showInputMessage="1" showErrorMessage="1" promptTitle="Parent Assembly Name" prompt="Click the right mouse button and select the name of the parent assembly." sqref="D7" xr:uid="{3FB79F21-67B1-4D2A-857C-750220C02EED}"/>
    <dataValidation allowBlank="1" showInputMessage="1" showErrorMessage="1" promptTitle="Owner" prompt="Click the right mouse button and select the team member that owns this assembly." sqref="E7" xr:uid="{F46DCDF7-26AF-4E63-92A0-3BAE4B79504B}"/>
    <dataValidation allowBlank="1" showInputMessage="1" showErrorMessage="1" promptTitle="Size Measure" prompt="Click the right mouse button and select the size measure for this assembly." sqref="F7" xr:uid="{742E3303-8920-4115-A0A3-67A5F910A673}"/>
  </dataValidations>
  <printOptions gridLines="1"/>
  <pageMargins left="0.5" right="0.5" top="1" bottom="1" header="0.5" footer="0.5"/>
  <pageSetup scale="67" orientation="landscape"/>
  <headerFooter alignWithMargins="0">
    <oddFooter>&amp;L File: &amp;F ! &amp;A&amp;R&amp;D  &amp;P of &amp;N</oddFooter>
  </headerFooter>
  <colBreaks count="6" manualBreakCount="6">
    <brk id="22" max="1048575" man="1"/>
    <brk id="42" max="1048575" man="1"/>
    <brk id="62" max="1048575" man="1"/>
    <brk id="82" max="1048575" man="1"/>
    <brk id="102" max="1048575" man="1"/>
    <brk id="124"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547B1-B122-4860-A120-D4B42CCD4BD7}">
  <sheetPr codeName="S"/>
  <dimension ref="A1:ER2"/>
  <sheetViews>
    <sheetView topLeftCell="DJ1" workbookViewId="0">
      <selection activeCell="EG1" sqref="EG1"/>
    </sheetView>
  </sheetViews>
  <sheetFormatPr baseColWidth="10" defaultColWidth="3.73046875" defaultRowHeight="12.75" x14ac:dyDescent="0.35"/>
  <cols>
    <col min="1" max="138" width="3.73046875" customWidth="1"/>
    <col min="139" max="139" width="5.86328125" customWidth="1"/>
    <col min="140" max="146" width="3.73046875" customWidth="1"/>
    <col min="147" max="147" width="12.73046875" customWidth="1"/>
  </cols>
  <sheetData>
    <row r="1" spans="1:148" s="123" customFormat="1" ht="142.9" thickBot="1" x14ac:dyDescent="0.4">
      <c r="A1" s="232" t="s">
        <v>357</v>
      </c>
      <c r="B1" s="233" t="s">
        <v>476</v>
      </c>
      <c r="C1" s="233" t="s">
        <v>477</v>
      </c>
      <c r="D1" s="233" t="s">
        <v>478</v>
      </c>
      <c r="E1" s="233" t="s">
        <v>479</v>
      </c>
      <c r="F1" s="234" t="s">
        <v>480</v>
      </c>
      <c r="G1" s="232" t="s">
        <v>481</v>
      </c>
      <c r="H1" s="233" t="s">
        <v>482</v>
      </c>
      <c r="I1" s="233" t="s">
        <v>483</v>
      </c>
      <c r="J1" s="233" t="s">
        <v>484</v>
      </c>
      <c r="K1" s="233" t="s">
        <v>485</v>
      </c>
      <c r="L1" s="233" t="s">
        <v>486</v>
      </c>
      <c r="M1" s="233" t="s">
        <v>487</v>
      </c>
      <c r="N1" s="234" t="s">
        <v>488</v>
      </c>
      <c r="O1" s="232" t="s">
        <v>481</v>
      </c>
      <c r="P1" s="233" t="s">
        <v>482</v>
      </c>
      <c r="Q1" s="233" t="s">
        <v>483</v>
      </c>
      <c r="R1" s="233" t="s">
        <v>484</v>
      </c>
      <c r="S1" s="233" t="s">
        <v>485</v>
      </c>
      <c r="T1" s="233" t="s">
        <v>486</v>
      </c>
      <c r="U1" s="233" t="s">
        <v>487</v>
      </c>
      <c r="V1" s="234" t="s">
        <v>488</v>
      </c>
      <c r="W1" s="232" t="s">
        <v>320</v>
      </c>
      <c r="X1" s="233" t="s">
        <v>186</v>
      </c>
      <c r="Y1" s="233" t="s">
        <v>329</v>
      </c>
      <c r="Z1" s="233" t="s">
        <v>334</v>
      </c>
      <c r="AA1" s="233" t="s">
        <v>190</v>
      </c>
      <c r="AB1" s="233" t="s">
        <v>337</v>
      </c>
      <c r="AC1" s="233" t="s">
        <v>339</v>
      </c>
      <c r="AD1" s="233" t="s">
        <v>341</v>
      </c>
      <c r="AE1" s="233" t="s">
        <v>343</v>
      </c>
      <c r="AF1" s="233" t="s">
        <v>345</v>
      </c>
      <c r="AG1" s="233" t="s">
        <v>347</v>
      </c>
      <c r="AH1" s="233" t="s">
        <v>348</v>
      </c>
      <c r="AI1" s="233" t="s">
        <v>349</v>
      </c>
      <c r="AJ1" s="233" t="s">
        <v>350</v>
      </c>
      <c r="AK1" s="233" t="s">
        <v>351</v>
      </c>
      <c r="AL1" s="233" t="s">
        <v>352</v>
      </c>
      <c r="AM1" s="233" t="s">
        <v>353</v>
      </c>
      <c r="AN1" s="235" t="s">
        <v>354</v>
      </c>
      <c r="AO1" s="233" t="s">
        <v>447</v>
      </c>
      <c r="AP1" s="236" t="s">
        <v>344</v>
      </c>
      <c r="AQ1" s="233" t="s">
        <v>320</v>
      </c>
      <c r="AR1" s="233" t="s">
        <v>186</v>
      </c>
      <c r="AS1" s="233" t="s">
        <v>329</v>
      </c>
      <c r="AT1" s="233" t="s">
        <v>334</v>
      </c>
      <c r="AU1" s="233" t="s">
        <v>190</v>
      </c>
      <c r="AV1" s="233" t="s">
        <v>337</v>
      </c>
      <c r="AW1" s="233" t="s">
        <v>339</v>
      </c>
      <c r="AX1" s="233" t="s">
        <v>341</v>
      </c>
      <c r="AY1" s="233" t="s">
        <v>343</v>
      </c>
      <c r="AZ1" s="233" t="s">
        <v>345</v>
      </c>
      <c r="BA1" s="233" t="s">
        <v>347</v>
      </c>
      <c r="BB1" s="233" t="s">
        <v>348</v>
      </c>
      <c r="BC1" s="233" t="s">
        <v>349</v>
      </c>
      <c r="BD1" s="233" t="s">
        <v>350</v>
      </c>
      <c r="BE1" s="233" t="s">
        <v>351</v>
      </c>
      <c r="BF1" s="235" t="s">
        <v>352</v>
      </c>
      <c r="BG1" s="233" t="s">
        <v>353</v>
      </c>
      <c r="BH1" s="233" t="s">
        <v>354</v>
      </c>
      <c r="BI1" s="233" t="s">
        <v>447</v>
      </c>
      <c r="BJ1" s="236" t="s">
        <v>344</v>
      </c>
      <c r="BK1" s="233" t="s">
        <v>320</v>
      </c>
      <c r="BL1" s="233" t="s">
        <v>186</v>
      </c>
      <c r="BM1" s="233" t="s">
        <v>329</v>
      </c>
      <c r="BN1" s="233" t="s">
        <v>334</v>
      </c>
      <c r="BO1" s="233" t="s">
        <v>190</v>
      </c>
      <c r="BP1" s="233" t="s">
        <v>337</v>
      </c>
      <c r="BQ1" s="233" t="s">
        <v>339</v>
      </c>
      <c r="BR1" s="233" t="s">
        <v>341</v>
      </c>
      <c r="BS1" s="233" t="s">
        <v>343</v>
      </c>
      <c r="BT1" s="233" t="s">
        <v>345</v>
      </c>
      <c r="BU1" s="233" t="s">
        <v>347</v>
      </c>
      <c r="BV1" s="233" t="s">
        <v>348</v>
      </c>
      <c r="BW1" s="233" t="s">
        <v>349</v>
      </c>
      <c r="BX1" s="235" t="s">
        <v>350</v>
      </c>
      <c r="BY1" s="233" t="s">
        <v>351</v>
      </c>
      <c r="BZ1" s="233" t="s">
        <v>352</v>
      </c>
      <c r="CA1" s="233" t="s">
        <v>353</v>
      </c>
      <c r="CB1" s="233" t="s">
        <v>354</v>
      </c>
      <c r="CC1" s="233" t="s">
        <v>447</v>
      </c>
      <c r="CD1" s="236" t="s">
        <v>344</v>
      </c>
      <c r="CE1" s="233" t="s">
        <v>320</v>
      </c>
      <c r="CF1" s="233" t="s">
        <v>186</v>
      </c>
      <c r="CG1" s="233" t="s">
        <v>329</v>
      </c>
      <c r="CH1" s="233" t="s">
        <v>334</v>
      </c>
      <c r="CI1" s="233" t="s">
        <v>190</v>
      </c>
      <c r="CJ1" s="233" t="s">
        <v>337</v>
      </c>
      <c r="CK1" s="233" t="s">
        <v>339</v>
      </c>
      <c r="CL1" s="233" t="s">
        <v>341</v>
      </c>
      <c r="CM1" s="233" t="s">
        <v>343</v>
      </c>
      <c r="CN1" s="233" t="s">
        <v>345</v>
      </c>
      <c r="CO1" s="233" t="s">
        <v>347</v>
      </c>
      <c r="CP1" s="233" t="s">
        <v>348</v>
      </c>
      <c r="CQ1" s="233" t="s">
        <v>349</v>
      </c>
      <c r="CR1" s="235" t="s">
        <v>350</v>
      </c>
      <c r="CS1" s="233" t="s">
        <v>351</v>
      </c>
      <c r="CT1" s="233" t="s">
        <v>352</v>
      </c>
      <c r="CU1" s="233" t="s">
        <v>353</v>
      </c>
      <c r="CV1" s="233" t="s">
        <v>354</v>
      </c>
      <c r="CW1" s="233" t="s">
        <v>447</v>
      </c>
      <c r="CX1" s="236" t="s">
        <v>344</v>
      </c>
      <c r="CY1" s="233" t="s">
        <v>311</v>
      </c>
      <c r="CZ1" s="233" t="s">
        <v>316</v>
      </c>
      <c r="DA1" s="233" t="s">
        <v>320</v>
      </c>
      <c r="DB1" s="233" t="s">
        <v>186</v>
      </c>
      <c r="DC1" s="233" t="s">
        <v>329</v>
      </c>
      <c r="DD1" s="233" t="s">
        <v>334</v>
      </c>
      <c r="DE1" s="233" t="s">
        <v>190</v>
      </c>
      <c r="DF1" s="233" t="s">
        <v>337</v>
      </c>
      <c r="DG1" s="233" t="s">
        <v>339</v>
      </c>
      <c r="DH1" s="233" t="s">
        <v>341</v>
      </c>
      <c r="DI1" s="233" t="s">
        <v>343</v>
      </c>
      <c r="DJ1" s="233" t="s">
        <v>345</v>
      </c>
      <c r="DK1" s="233" t="s">
        <v>347</v>
      </c>
      <c r="DL1" s="233" t="s">
        <v>348</v>
      </c>
      <c r="DM1" s="233" t="s">
        <v>349</v>
      </c>
      <c r="DN1" s="235" t="s">
        <v>350</v>
      </c>
      <c r="DO1" s="233" t="s">
        <v>351</v>
      </c>
      <c r="DP1" s="233" t="s">
        <v>352</v>
      </c>
      <c r="DQ1" s="233" t="s">
        <v>353</v>
      </c>
      <c r="DR1" s="233" t="s">
        <v>354</v>
      </c>
      <c r="DS1" s="233" t="s">
        <v>355</v>
      </c>
      <c r="DT1" s="236" t="s">
        <v>356</v>
      </c>
      <c r="DU1" s="233" t="s">
        <v>311</v>
      </c>
      <c r="DV1" s="233" t="s">
        <v>316</v>
      </c>
      <c r="DW1" s="233" t="s">
        <v>320</v>
      </c>
      <c r="DX1" s="233" t="s">
        <v>186</v>
      </c>
      <c r="DY1" s="233" t="s">
        <v>329</v>
      </c>
      <c r="DZ1" s="233" t="s">
        <v>334</v>
      </c>
      <c r="EA1" s="233" t="s">
        <v>190</v>
      </c>
      <c r="EB1" s="233" t="s">
        <v>337</v>
      </c>
      <c r="EC1" s="233" t="s">
        <v>339</v>
      </c>
      <c r="ED1" s="233" t="s">
        <v>341</v>
      </c>
      <c r="EE1" s="233" t="s">
        <v>343</v>
      </c>
      <c r="EF1" s="233" t="s">
        <v>345</v>
      </c>
      <c r="EG1" s="233" t="s">
        <v>347</v>
      </c>
      <c r="EH1" s="235" t="s">
        <v>348</v>
      </c>
      <c r="EI1" s="235" t="s">
        <v>349</v>
      </c>
      <c r="EJ1" s="235" t="s">
        <v>350</v>
      </c>
      <c r="EK1" s="235" t="s">
        <v>351</v>
      </c>
      <c r="EL1" s="235" t="s">
        <v>352</v>
      </c>
      <c r="EM1" s="235" t="s">
        <v>353</v>
      </c>
      <c r="EN1" s="235" t="s">
        <v>354</v>
      </c>
      <c r="EO1" s="235" t="s">
        <v>355</v>
      </c>
      <c r="EP1" s="237" t="s">
        <v>356</v>
      </c>
      <c r="EQ1" s="233" t="s">
        <v>489</v>
      </c>
      <c r="ER1" s="234" t="s">
        <v>490</v>
      </c>
    </row>
    <row r="2" spans="1:148" x14ac:dyDescent="0.35">
      <c r="EQ2" s="138"/>
    </row>
  </sheetData>
  <phoneticPr fontId="2" type="noConversion"/>
  <pageMargins left="0.75" right="0.75" top="1" bottom="1" header="0.5" footer="0.5"/>
  <pageSetup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72773-D7F2-4794-A976-BC6523301805}">
  <sheetPr codeName="TASK"/>
  <dimension ref="A1:AM842"/>
  <sheetViews>
    <sheetView zoomScaleNormal="100" workbookViewId="0">
      <pane xSplit="3" ySplit="7" topLeftCell="D26" activePane="bottomRight" state="frozenSplit"/>
      <selection pane="topRight" activeCell="D1" sqref="D1"/>
      <selection pane="bottomLeft" activeCell="A2" sqref="A2"/>
      <selection pane="bottomRight" activeCell="B37" sqref="B37:H56"/>
    </sheetView>
  </sheetViews>
  <sheetFormatPr baseColWidth="10" defaultColWidth="9.1328125" defaultRowHeight="10.15" x14ac:dyDescent="0.3"/>
  <cols>
    <col min="1" max="1" width="12.73046875" style="6" customWidth="1"/>
    <col min="2" max="2" width="10.3984375" style="6" customWidth="1"/>
    <col min="3" max="3" width="51.73046875" style="6" bestFit="1" customWidth="1"/>
    <col min="4" max="9" width="4.73046875" style="6" customWidth="1"/>
    <col min="10" max="10" width="5.73046875" style="91" customWidth="1"/>
    <col min="11" max="11" width="10.73046875" style="6" hidden="1" customWidth="1"/>
    <col min="12" max="12" width="6.73046875" style="6" customWidth="1"/>
    <col min="13" max="13" width="4.1328125" style="6" customWidth="1"/>
    <col min="14" max="15" width="4.86328125" style="5" bestFit="1" customWidth="1"/>
    <col min="16" max="16" width="6.73046875" style="5" hidden="1" customWidth="1"/>
    <col min="17" max="17" width="3.73046875" style="5" customWidth="1"/>
    <col min="18" max="18" width="6.73046875" style="11" customWidth="1"/>
    <col min="19" max="19" width="9.1328125" style="12"/>
    <col min="20" max="20" width="3.73046875" style="117" customWidth="1"/>
    <col min="21" max="21" width="6.73046875" style="5" customWidth="1"/>
    <col min="22" max="22" width="9.1328125" style="9"/>
    <col min="23" max="23" width="3.73046875" style="91" customWidth="1"/>
    <col min="24" max="24" width="5" style="11" customWidth="1"/>
    <col min="25" max="25" width="6.73046875" style="11" hidden="1" customWidth="1"/>
    <col min="26" max="26" width="6.73046875" style="11" customWidth="1"/>
    <col min="27" max="27" width="5.73046875" style="11" customWidth="1"/>
    <col min="28" max="28" width="5" style="11" customWidth="1"/>
    <col min="29" max="29" width="5.3984375" style="118" hidden="1" customWidth="1"/>
    <col min="30" max="31" width="9.1328125" style="12"/>
    <col min="32" max="32" width="9.1328125" style="9"/>
    <col min="33" max="33" width="9.1328125" style="12"/>
    <col min="34" max="34" width="9.1328125" style="11"/>
    <col min="35" max="35" width="40.73046875" style="6" customWidth="1"/>
    <col min="36" max="36" width="3.73046875" style="91" customWidth="1"/>
    <col min="37" max="38" width="9.1328125" style="11"/>
    <col min="39" max="16384" width="9.1328125" style="10"/>
  </cols>
  <sheetData>
    <row r="1" spans="1:39" s="68" customFormat="1" ht="15" x14ac:dyDescent="0.4">
      <c r="A1" s="37" t="str">
        <f>[0]!TSPProcessName &amp; " Task Planning Template - Form TASK"</f>
        <v>TSPi Task Planning Template - Form TASK</v>
      </c>
      <c r="B1" s="162"/>
      <c r="C1" s="162"/>
      <c r="D1" s="162"/>
      <c r="E1" s="162"/>
      <c r="F1" s="162"/>
      <c r="G1" s="162"/>
      <c r="H1" s="162"/>
      <c r="I1" s="162"/>
      <c r="J1" s="162"/>
      <c r="K1" s="238"/>
      <c r="L1" s="238"/>
      <c r="M1" s="238"/>
      <c r="N1" s="239"/>
      <c r="O1" s="239" t="s">
        <v>505</v>
      </c>
      <c r="P1" s="116"/>
      <c r="Q1" s="240"/>
      <c r="R1" s="241"/>
      <c r="S1" s="242"/>
      <c r="T1" s="243"/>
      <c r="U1" s="241"/>
      <c r="V1" s="244" t="s">
        <v>506</v>
      </c>
      <c r="W1" s="35"/>
      <c r="X1" s="116"/>
      <c r="Y1" s="241"/>
      <c r="Z1" s="241"/>
      <c r="AA1" s="241"/>
      <c r="AB1" s="241"/>
      <c r="AC1" s="243"/>
      <c r="AD1" s="242"/>
      <c r="AE1" s="242"/>
      <c r="AF1" s="242"/>
      <c r="AG1" s="242"/>
      <c r="AH1" s="241"/>
      <c r="AI1" s="238"/>
      <c r="AJ1" s="238"/>
      <c r="AK1" s="241"/>
      <c r="AL1" s="241"/>
      <c r="AM1" s="238"/>
    </row>
    <row r="2" spans="1:39" ht="11.65" x14ac:dyDescent="0.35">
      <c r="A2" s="38" t="s">
        <v>312</v>
      </c>
      <c r="B2" s="245" t="str">
        <f>IF(Name=0,"",Name)</f>
        <v>Isaac Diaz Perez</v>
      </c>
      <c r="C2" s="246"/>
      <c r="D2" s="164"/>
      <c r="E2" s="164"/>
      <c r="F2" s="162"/>
      <c r="G2" s="162"/>
      <c r="H2" s="162"/>
      <c r="I2" s="162"/>
      <c r="J2" s="162"/>
      <c r="K2" s="238"/>
      <c r="L2" s="238"/>
      <c r="M2" s="238"/>
      <c r="N2" s="241"/>
      <c r="O2" s="340">
        <f>SUM(Task!R:R)</f>
        <v>192</v>
      </c>
      <c r="P2" s="340"/>
      <c r="Q2" s="248"/>
      <c r="R2" s="241"/>
      <c r="S2" s="249"/>
      <c r="T2" s="250"/>
      <c r="U2" s="241"/>
      <c r="V2" s="340">
        <f>SUM(Task!U:U)</f>
        <v>0</v>
      </c>
      <c r="W2" s="340"/>
      <c r="X2" s="251"/>
      <c r="Y2" s="251"/>
      <c r="Z2" s="251"/>
      <c r="AA2" s="251"/>
      <c r="AB2" s="251"/>
      <c r="AC2" s="250"/>
      <c r="AD2" s="249"/>
      <c r="AE2" s="249"/>
      <c r="AF2" s="249"/>
      <c r="AG2" s="249"/>
      <c r="AH2" s="251"/>
      <c r="AI2" s="252"/>
      <c r="AJ2" s="252"/>
      <c r="AK2" s="251"/>
      <c r="AL2" s="251"/>
      <c r="AM2" s="252"/>
    </row>
    <row r="3" spans="1:39" ht="11.65" x14ac:dyDescent="0.35">
      <c r="A3" s="38" t="s">
        <v>14</v>
      </c>
      <c r="B3" s="245" t="str">
        <f>IF(TeamName = 0, "",TeamName)</f>
        <v>TSP-GRUPO B02-SUBGRUPO 3</v>
      </c>
      <c r="C3" s="246"/>
      <c r="D3" s="164"/>
      <c r="E3" s="164"/>
      <c r="F3" s="164"/>
      <c r="G3" s="162"/>
      <c r="H3" s="162"/>
      <c r="I3" s="162"/>
      <c r="J3" s="162"/>
      <c r="K3" s="238"/>
      <c r="L3" s="129" t="s">
        <v>507</v>
      </c>
      <c r="M3" s="238"/>
      <c r="N3" s="248"/>
      <c r="O3" s="248"/>
      <c r="P3" s="248"/>
      <c r="Q3" s="248"/>
      <c r="R3" s="253"/>
      <c r="S3" s="249"/>
      <c r="T3" s="250"/>
      <c r="U3" s="253"/>
      <c r="V3" s="254"/>
      <c r="W3" s="164"/>
      <c r="X3" s="251"/>
      <c r="Y3" s="251"/>
      <c r="Z3" s="251"/>
      <c r="AA3" s="251"/>
      <c r="AB3" s="251"/>
      <c r="AC3" s="250"/>
      <c r="AD3" s="249"/>
      <c r="AE3" s="249"/>
      <c r="AF3" s="249"/>
      <c r="AG3" s="249"/>
      <c r="AH3" s="251"/>
      <c r="AI3" s="252"/>
      <c r="AJ3" s="252"/>
      <c r="AK3" s="251"/>
      <c r="AL3" s="251"/>
      <c r="AM3" s="252"/>
    </row>
    <row r="4" spans="1:39" ht="11.65" x14ac:dyDescent="0.35">
      <c r="A4" s="38" t="s">
        <v>314</v>
      </c>
      <c r="B4" s="255">
        <f ca="1">currentDate</f>
        <v>46182</v>
      </c>
      <c r="C4" s="246"/>
      <c r="D4" s="164"/>
      <c r="E4" s="164"/>
      <c r="F4" s="164"/>
      <c r="G4" s="164"/>
      <c r="H4" s="164"/>
      <c r="I4" s="164"/>
      <c r="J4" s="164"/>
      <c r="K4" s="164"/>
      <c r="L4" s="130" t="s">
        <v>508</v>
      </c>
      <c r="M4" s="164"/>
      <c r="N4" s="248"/>
      <c r="O4" s="248"/>
      <c r="P4" s="248"/>
      <c r="Q4" s="248"/>
      <c r="R4" s="253"/>
      <c r="S4" s="249"/>
      <c r="T4" s="250"/>
      <c r="U4" s="253"/>
      <c r="V4" s="254"/>
      <c r="W4" s="164"/>
      <c r="X4" s="251"/>
      <c r="Y4" s="251"/>
      <c r="Z4" s="251"/>
      <c r="AA4" s="251"/>
      <c r="AB4" s="251"/>
      <c r="AC4" s="250"/>
      <c r="AD4" s="249"/>
      <c r="AE4" s="249"/>
      <c r="AF4" s="249"/>
      <c r="AG4" s="249"/>
      <c r="AH4" s="251"/>
      <c r="AI4" s="252"/>
      <c r="AJ4" s="252"/>
      <c r="AK4" s="251"/>
      <c r="AL4" s="251"/>
      <c r="AM4" s="252"/>
    </row>
    <row r="5" spans="1:39" ht="11.65" x14ac:dyDescent="0.35">
      <c r="A5" s="38" t="str">
        <f>IF(Project!C5&lt;&gt;"",Project!C5,"")</f>
        <v>Instructor</v>
      </c>
      <c r="B5" s="245" t="str">
        <f>IF(InstructorName=0,"",InstructorName)</f>
        <v>Natalia Martinez Rojas</v>
      </c>
      <c r="C5" s="246"/>
      <c r="D5" s="164"/>
      <c r="E5" s="164"/>
      <c r="F5" s="164"/>
      <c r="G5" s="164"/>
      <c r="H5" s="164"/>
      <c r="I5" s="164"/>
      <c r="J5" s="164"/>
      <c r="K5" s="164"/>
      <c r="L5" s="130" t="s">
        <v>509</v>
      </c>
      <c r="M5" s="164"/>
      <c r="N5" s="248"/>
      <c r="O5" s="248"/>
      <c r="P5" s="248"/>
      <c r="Q5" s="248"/>
      <c r="R5" s="253"/>
      <c r="S5" s="249"/>
      <c r="T5" s="250"/>
      <c r="U5" s="253"/>
      <c r="V5" s="254"/>
      <c r="W5" s="164"/>
      <c r="X5" s="251"/>
      <c r="Y5" s="251"/>
      <c r="Z5" s="251"/>
      <c r="AA5" s="251"/>
      <c r="AB5" s="251"/>
      <c r="AC5" s="250"/>
      <c r="AD5" s="249"/>
      <c r="AE5" s="249"/>
      <c r="AF5" s="249"/>
      <c r="AG5" s="249"/>
      <c r="AH5" s="251"/>
      <c r="AI5" s="252"/>
      <c r="AJ5" s="252"/>
      <c r="AK5" s="251"/>
      <c r="AL5" s="251"/>
      <c r="AM5" s="252"/>
    </row>
    <row r="6" spans="1:39" ht="11.65" x14ac:dyDescent="0.35">
      <c r="A6" s="38" t="s">
        <v>327</v>
      </c>
      <c r="B6" s="245">
        <f>IF(Cycle=0,"",Cycle)</f>
        <v>1</v>
      </c>
      <c r="C6" s="246"/>
      <c r="D6" s="339" t="s">
        <v>510</v>
      </c>
      <c r="E6" s="339"/>
      <c r="F6" s="339"/>
      <c r="G6" s="339"/>
      <c r="H6" s="339"/>
      <c r="I6" s="339"/>
      <c r="J6" s="164"/>
      <c r="K6" s="164"/>
      <c r="L6" s="164"/>
      <c r="M6" s="164"/>
      <c r="N6" s="248"/>
      <c r="O6" s="248"/>
      <c r="P6" s="248"/>
      <c r="Q6" s="248"/>
      <c r="R6" s="253"/>
      <c r="S6" s="249"/>
      <c r="T6" s="250"/>
      <c r="U6" s="253"/>
      <c r="V6" s="254"/>
      <c r="W6" s="164"/>
      <c r="X6" s="251"/>
      <c r="Y6" s="251"/>
      <c r="Z6" s="251"/>
      <c r="AA6" s="251"/>
      <c r="AB6" s="251"/>
      <c r="AC6" s="250"/>
      <c r="AD6" s="249"/>
      <c r="AE6" s="249"/>
      <c r="AF6" s="249"/>
      <c r="AG6" s="249"/>
      <c r="AH6" s="251"/>
      <c r="AI6" s="252"/>
      <c r="AJ6" s="252"/>
      <c r="AK6" s="251"/>
      <c r="AL6" s="251"/>
      <c r="AM6" s="252"/>
    </row>
    <row r="7" spans="1:39" s="13" customFormat="1" ht="66.75" customHeight="1" x14ac:dyDescent="0.3">
      <c r="A7" s="192" t="s">
        <v>326</v>
      </c>
      <c r="B7" s="192" t="s">
        <v>308</v>
      </c>
      <c r="C7" s="256" t="s">
        <v>30</v>
      </c>
      <c r="D7" s="257" t="str">
        <f>Roles!A2</f>
        <v>Team Leader</v>
      </c>
      <c r="E7" s="257" t="str">
        <f>Roles!A4</f>
        <v>Development Manager</v>
      </c>
      <c r="F7" s="257" t="str">
        <f>Roles!A6</f>
        <v>Planning Manager</v>
      </c>
      <c r="G7" s="257" t="str">
        <f>Roles!A8</f>
        <v>Quality/Process Manager</v>
      </c>
      <c r="H7" s="257" t="str">
        <f>Roles!A10</f>
        <v>Support Manager</v>
      </c>
      <c r="I7" s="257" t="str">
        <f>IF(Roles!A20="","",Roles!A20)</f>
        <v/>
      </c>
      <c r="J7" s="257" t="s">
        <v>511</v>
      </c>
      <c r="K7" s="257" t="s">
        <v>512</v>
      </c>
      <c r="L7" s="257" t="s">
        <v>513</v>
      </c>
      <c r="M7" s="257" t="s">
        <v>480</v>
      </c>
      <c r="N7" s="258" t="s">
        <v>514</v>
      </c>
      <c r="O7" s="258" t="s">
        <v>515</v>
      </c>
      <c r="P7" s="258" t="s">
        <v>516</v>
      </c>
      <c r="Q7" s="258" t="s">
        <v>517</v>
      </c>
      <c r="R7" s="258" t="s">
        <v>518</v>
      </c>
      <c r="S7" s="259" t="s">
        <v>519</v>
      </c>
      <c r="T7" s="260" t="s">
        <v>520</v>
      </c>
      <c r="U7" s="258" t="s">
        <v>521</v>
      </c>
      <c r="V7" s="259" t="s">
        <v>522</v>
      </c>
      <c r="W7" s="257" t="s">
        <v>523</v>
      </c>
      <c r="X7" s="258" t="s">
        <v>524</v>
      </c>
      <c r="Y7" s="258" t="s">
        <v>525</v>
      </c>
      <c r="Z7" s="258" t="s">
        <v>526</v>
      </c>
      <c r="AA7" s="258" t="s">
        <v>527</v>
      </c>
      <c r="AB7" s="258" t="s">
        <v>528</v>
      </c>
      <c r="AC7" s="250"/>
      <c r="AD7" s="259" t="s">
        <v>529</v>
      </c>
      <c r="AE7" s="259" t="s">
        <v>530</v>
      </c>
      <c r="AF7" s="259" t="s">
        <v>531</v>
      </c>
      <c r="AG7" s="259" t="s">
        <v>532</v>
      </c>
      <c r="AH7" s="258" t="s">
        <v>490</v>
      </c>
      <c r="AI7" s="261" t="s">
        <v>533</v>
      </c>
      <c r="AJ7" s="257" t="s">
        <v>534</v>
      </c>
      <c r="AK7" s="258" t="s">
        <v>535</v>
      </c>
      <c r="AL7" s="258" t="s">
        <v>536</v>
      </c>
      <c r="AM7" s="262"/>
    </row>
    <row r="8" spans="1:39" x14ac:dyDescent="0.3">
      <c r="A8" s="156" t="s">
        <v>493</v>
      </c>
      <c r="B8" s="156" t="s">
        <v>537</v>
      </c>
      <c r="C8" s="156" t="s">
        <v>538</v>
      </c>
      <c r="D8" s="156">
        <v>1</v>
      </c>
      <c r="E8" s="156">
        <v>2</v>
      </c>
      <c r="F8" s="156">
        <v>1</v>
      </c>
      <c r="G8" s="156">
        <v>1</v>
      </c>
      <c r="H8" s="156">
        <v>1</v>
      </c>
      <c r="I8" s="156"/>
      <c r="J8" s="263">
        <v>6</v>
      </c>
      <c r="K8" s="264"/>
      <c r="L8" s="156"/>
      <c r="M8" s="156"/>
      <c r="N8" s="265"/>
      <c r="O8" s="265"/>
      <c r="P8" s="265"/>
      <c r="Q8" s="265"/>
      <c r="R8" s="266">
        <v>6</v>
      </c>
      <c r="S8" s="267">
        <v>46148</v>
      </c>
      <c r="T8" s="268">
        <v>1</v>
      </c>
      <c r="U8" s="265">
        <v>0</v>
      </c>
      <c r="V8" s="264"/>
      <c r="W8" s="263"/>
      <c r="X8" s="266"/>
      <c r="Y8" s="266"/>
      <c r="Z8" s="266">
        <v>6</v>
      </c>
      <c r="AA8" s="266">
        <v>3.125</v>
      </c>
      <c r="AB8" s="266">
        <v>3.125</v>
      </c>
      <c r="AC8" s="250"/>
      <c r="AD8" s="267"/>
      <c r="AE8" s="267">
        <v>46148</v>
      </c>
      <c r="AF8" s="264"/>
      <c r="AG8" s="267"/>
      <c r="AH8" s="266"/>
      <c r="AI8" s="265"/>
      <c r="AJ8" s="263">
        <v>1</v>
      </c>
      <c r="AK8" s="266">
        <v>6</v>
      </c>
      <c r="AL8" s="266">
        <v>6</v>
      </c>
      <c r="AM8" s="251"/>
    </row>
    <row r="9" spans="1:39" x14ac:dyDescent="0.3">
      <c r="A9" s="156" t="s">
        <v>493</v>
      </c>
      <c r="B9" s="156" t="s">
        <v>539</v>
      </c>
      <c r="C9" s="156" t="s">
        <v>540</v>
      </c>
      <c r="D9" s="156">
        <v>1</v>
      </c>
      <c r="E9" s="156">
        <v>1</v>
      </c>
      <c r="F9" s="156">
        <v>2.5</v>
      </c>
      <c r="G9" s="156">
        <v>2.5</v>
      </c>
      <c r="H9" s="156">
        <v>1</v>
      </c>
      <c r="I9" s="156"/>
      <c r="J9" s="263">
        <v>8</v>
      </c>
      <c r="K9" s="264"/>
      <c r="L9" s="156"/>
      <c r="M9" s="156"/>
      <c r="N9" s="265"/>
      <c r="O9" s="265"/>
      <c r="P9" s="265"/>
      <c r="Q9" s="265"/>
      <c r="R9" s="266">
        <v>8</v>
      </c>
      <c r="S9" s="267">
        <v>46148</v>
      </c>
      <c r="T9" s="268">
        <v>1</v>
      </c>
      <c r="U9" s="265">
        <v>0</v>
      </c>
      <c r="V9" s="264"/>
      <c r="W9" s="263"/>
      <c r="X9" s="266"/>
      <c r="Y9" s="266"/>
      <c r="Z9" s="266">
        <v>14</v>
      </c>
      <c r="AA9" s="266">
        <v>7.2916666666666661</v>
      </c>
      <c r="AB9" s="266">
        <v>4.1666666666666661</v>
      </c>
      <c r="AC9" s="250"/>
      <c r="AD9" s="267"/>
      <c r="AE9" s="267">
        <v>46148</v>
      </c>
      <c r="AF9" s="264"/>
      <c r="AG9" s="267"/>
      <c r="AH9" s="266"/>
      <c r="AI9" s="265"/>
      <c r="AJ9" s="263">
        <v>1</v>
      </c>
      <c r="AK9" s="266">
        <v>8</v>
      </c>
      <c r="AL9" s="266">
        <v>8</v>
      </c>
      <c r="AM9" s="251"/>
    </row>
    <row r="10" spans="1:39" x14ac:dyDescent="0.3">
      <c r="A10" s="156" t="s">
        <v>493</v>
      </c>
      <c r="B10" s="156" t="s">
        <v>539</v>
      </c>
      <c r="C10" s="156" t="s">
        <v>541</v>
      </c>
      <c r="D10" s="156">
        <v>1</v>
      </c>
      <c r="E10" s="156">
        <v>1</v>
      </c>
      <c r="F10" s="156">
        <v>4.5</v>
      </c>
      <c r="G10" s="156">
        <v>0.5</v>
      </c>
      <c r="H10" s="156">
        <v>0</v>
      </c>
      <c r="I10" s="156"/>
      <c r="J10" s="263">
        <v>7</v>
      </c>
      <c r="K10" s="264"/>
      <c r="L10" s="156"/>
      <c r="M10" s="156"/>
      <c r="N10" s="265"/>
      <c r="O10" s="265"/>
      <c r="P10" s="265"/>
      <c r="Q10" s="265"/>
      <c r="R10" s="266">
        <v>7</v>
      </c>
      <c r="S10" s="267">
        <v>46148</v>
      </c>
      <c r="T10" s="268">
        <v>1</v>
      </c>
      <c r="U10" s="265">
        <v>0</v>
      </c>
      <c r="V10" s="264"/>
      <c r="W10" s="263"/>
      <c r="X10" s="266"/>
      <c r="Y10" s="266"/>
      <c r="Z10" s="266">
        <v>21</v>
      </c>
      <c r="AA10" s="266">
        <v>10.9375</v>
      </c>
      <c r="AB10" s="266">
        <v>3.6458333333333335</v>
      </c>
      <c r="AC10" s="250"/>
      <c r="AD10" s="267"/>
      <c r="AE10" s="267">
        <v>46148</v>
      </c>
      <c r="AF10" s="264"/>
      <c r="AG10" s="267"/>
      <c r="AH10" s="266"/>
      <c r="AI10" s="265"/>
      <c r="AJ10" s="263">
        <v>1</v>
      </c>
      <c r="AK10" s="266">
        <v>7</v>
      </c>
      <c r="AL10" s="266">
        <v>7</v>
      </c>
      <c r="AM10" s="251"/>
    </row>
    <row r="11" spans="1:39" x14ac:dyDescent="0.3">
      <c r="A11" s="156" t="s">
        <v>493</v>
      </c>
      <c r="B11" s="156" t="s">
        <v>539</v>
      </c>
      <c r="C11" s="156" t="s">
        <v>542</v>
      </c>
      <c r="D11" s="156">
        <v>1</v>
      </c>
      <c r="E11" s="156">
        <v>1.5</v>
      </c>
      <c r="F11" s="156">
        <v>0.5</v>
      </c>
      <c r="G11" s="156">
        <v>0.5</v>
      </c>
      <c r="H11" s="156">
        <v>0.5</v>
      </c>
      <c r="I11" s="156"/>
      <c r="J11" s="263">
        <v>4</v>
      </c>
      <c r="K11" s="264"/>
      <c r="L11" s="156"/>
      <c r="M11" s="156"/>
      <c r="N11" s="265"/>
      <c r="O11" s="265"/>
      <c r="P11" s="265"/>
      <c r="Q11" s="265"/>
      <c r="R11" s="266">
        <v>4</v>
      </c>
      <c r="S11" s="267">
        <v>46148</v>
      </c>
      <c r="T11" s="268">
        <v>1</v>
      </c>
      <c r="U11" s="265">
        <v>0</v>
      </c>
      <c r="V11" s="264"/>
      <c r="W11" s="263"/>
      <c r="X11" s="266"/>
      <c r="Y11" s="266"/>
      <c r="Z11" s="266">
        <v>25</v>
      </c>
      <c r="AA11" s="266">
        <v>13.020833333333332</v>
      </c>
      <c r="AB11" s="266">
        <v>2.083333333333333</v>
      </c>
      <c r="AC11" s="250"/>
      <c r="AD11" s="267"/>
      <c r="AE11" s="267">
        <v>46148</v>
      </c>
      <c r="AF11" s="264"/>
      <c r="AG11" s="267"/>
      <c r="AH11" s="266"/>
      <c r="AI11" s="265"/>
      <c r="AJ11" s="263">
        <v>1</v>
      </c>
      <c r="AK11" s="266">
        <v>4</v>
      </c>
      <c r="AL11" s="266">
        <v>4</v>
      </c>
      <c r="AM11" s="251"/>
    </row>
    <row r="12" spans="1:39" x14ac:dyDescent="0.3">
      <c r="A12" s="156" t="s">
        <v>493</v>
      </c>
      <c r="B12" s="156" t="s">
        <v>539</v>
      </c>
      <c r="C12" s="156" t="s">
        <v>543</v>
      </c>
      <c r="D12" s="156">
        <v>1</v>
      </c>
      <c r="E12" s="156">
        <v>1</v>
      </c>
      <c r="F12" s="156">
        <v>1.5</v>
      </c>
      <c r="G12" s="156">
        <v>0.5</v>
      </c>
      <c r="H12" s="156">
        <v>0</v>
      </c>
      <c r="I12" s="156"/>
      <c r="J12" s="263">
        <v>4</v>
      </c>
      <c r="K12" s="264"/>
      <c r="L12" s="156"/>
      <c r="M12" s="156"/>
      <c r="N12" s="265"/>
      <c r="O12" s="265"/>
      <c r="P12" s="265"/>
      <c r="Q12" s="265"/>
      <c r="R12" s="266">
        <v>4</v>
      </c>
      <c r="S12" s="267">
        <v>46148</v>
      </c>
      <c r="T12" s="268">
        <v>1</v>
      </c>
      <c r="U12" s="265">
        <v>0</v>
      </c>
      <c r="V12" s="264"/>
      <c r="W12" s="263"/>
      <c r="X12" s="266"/>
      <c r="Y12" s="266"/>
      <c r="Z12" s="266">
        <v>29</v>
      </c>
      <c r="AA12" s="266">
        <v>15.104166666666664</v>
      </c>
      <c r="AB12" s="266">
        <v>2.083333333333333</v>
      </c>
      <c r="AC12" s="250"/>
      <c r="AD12" s="267"/>
      <c r="AE12" s="267">
        <v>46148</v>
      </c>
      <c r="AF12" s="264"/>
      <c r="AG12" s="267"/>
      <c r="AH12" s="266"/>
      <c r="AI12" s="265"/>
      <c r="AJ12" s="263">
        <v>1</v>
      </c>
      <c r="AK12" s="266">
        <v>4</v>
      </c>
      <c r="AL12" s="266">
        <v>4</v>
      </c>
      <c r="AM12" s="251"/>
    </row>
    <row r="13" spans="1:39" x14ac:dyDescent="0.3">
      <c r="A13" s="156" t="s">
        <v>493</v>
      </c>
      <c r="B13" s="156" t="s">
        <v>544</v>
      </c>
      <c r="C13" s="156" t="s">
        <v>545</v>
      </c>
      <c r="D13" s="156">
        <v>0.5</v>
      </c>
      <c r="E13" s="156">
        <v>1.5</v>
      </c>
      <c r="F13" s="156">
        <v>0.5</v>
      </c>
      <c r="G13" s="156">
        <v>0.5</v>
      </c>
      <c r="H13" s="156">
        <v>0</v>
      </c>
      <c r="I13" s="156"/>
      <c r="J13" s="263">
        <v>3</v>
      </c>
      <c r="K13" s="156"/>
      <c r="L13" s="156"/>
      <c r="M13" s="156"/>
      <c r="N13" s="265"/>
      <c r="O13" s="265"/>
      <c r="P13" s="265"/>
      <c r="Q13" s="265"/>
      <c r="R13" s="266">
        <v>3</v>
      </c>
      <c r="S13" s="267">
        <v>46155</v>
      </c>
      <c r="T13" s="268">
        <v>2</v>
      </c>
      <c r="U13" s="265">
        <v>0</v>
      </c>
      <c r="V13" s="264"/>
      <c r="W13" s="263"/>
      <c r="X13" s="266"/>
      <c r="Y13" s="266"/>
      <c r="Z13" s="266">
        <v>32</v>
      </c>
      <c r="AA13" s="266">
        <v>16.666666666666664</v>
      </c>
      <c r="AB13" s="266">
        <v>1.5625</v>
      </c>
      <c r="AC13" s="250"/>
      <c r="AD13" s="267"/>
      <c r="AE13" s="267">
        <v>46155</v>
      </c>
      <c r="AF13" s="264"/>
      <c r="AG13" s="267"/>
      <c r="AH13" s="266"/>
      <c r="AI13" s="265"/>
      <c r="AJ13" s="263">
        <v>1</v>
      </c>
      <c r="AK13" s="266">
        <v>1</v>
      </c>
      <c r="AL13" s="266">
        <v>2</v>
      </c>
      <c r="AM13" s="251"/>
    </row>
    <row r="14" spans="1:39" x14ac:dyDescent="0.3">
      <c r="A14" s="156" t="s">
        <v>493</v>
      </c>
      <c r="B14" s="156" t="s">
        <v>544</v>
      </c>
      <c r="C14" s="156" t="s">
        <v>546</v>
      </c>
      <c r="D14" s="156">
        <v>0</v>
      </c>
      <c r="E14" s="156">
        <v>4</v>
      </c>
      <c r="F14" s="156">
        <v>0.5</v>
      </c>
      <c r="G14" s="156">
        <v>0.5</v>
      </c>
      <c r="H14" s="156">
        <v>0</v>
      </c>
      <c r="I14" s="156"/>
      <c r="J14" s="263">
        <v>5</v>
      </c>
      <c r="K14" s="264"/>
      <c r="L14" s="156"/>
      <c r="M14" s="156"/>
      <c r="N14" s="265"/>
      <c r="O14" s="265"/>
      <c r="P14" s="265"/>
      <c r="Q14" s="265"/>
      <c r="R14" s="266">
        <v>5</v>
      </c>
      <c r="S14" s="267">
        <v>46155</v>
      </c>
      <c r="T14" s="268">
        <v>2</v>
      </c>
      <c r="U14" s="265">
        <v>0</v>
      </c>
      <c r="V14" s="264"/>
      <c r="W14" s="263"/>
      <c r="X14" s="266"/>
      <c r="Y14" s="266"/>
      <c r="Z14" s="266">
        <v>37</v>
      </c>
      <c r="AA14" s="266">
        <v>19.270833333333332</v>
      </c>
      <c r="AB14" s="266">
        <v>2.604166666666667</v>
      </c>
      <c r="AC14" s="250"/>
      <c r="AD14" s="267"/>
      <c r="AE14" s="267">
        <v>46155</v>
      </c>
      <c r="AF14" s="264"/>
      <c r="AG14" s="267"/>
      <c r="AH14" s="266"/>
      <c r="AI14" s="265"/>
      <c r="AJ14" s="263">
        <v>2</v>
      </c>
      <c r="AK14" s="266">
        <v>5</v>
      </c>
      <c r="AL14" s="266">
        <v>5</v>
      </c>
      <c r="AM14" s="251"/>
    </row>
    <row r="15" spans="1:39" x14ac:dyDescent="0.3">
      <c r="A15" s="156" t="s">
        <v>493</v>
      </c>
      <c r="B15" s="156" t="s">
        <v>544</v>
      </c>
      <c r="C15" s="156" t="s">
        <v>547</v>
      </c>
      <c r="D15" s="156">
        <v>0</v>
      </c>
      <c r="E15" s="156">
        <v>4</v>
      </c>
      <c r="F15" s="156">
        <v>0.5</v>
      </c>
      <c r="G15" s="156">
        <v>0.5</v>
      </c>
      <c r="H15" s="156">
        <v>0</v>
      </c>
      <c r="I15" s="156"/>
      <c r="J15" s="263">
        <v>5</v>
      </c>
      <c r="K15" s="264"/>
      <c r="L15" s="156"/>
      <c r="M15" s="156"/>
      <c r="N15" s="265"/>
      <c r="O15" s="265"/>
      <c r="P15" s="265"/>
      <c r="Q15" s="265"/>
      <c r="R15" s="266">
        <v>5</v>
      </c>
      <c r="S15" s="267">
        <v>46155</v>
      </c>
      <c r="T15" s="268">
        <v>2</v>
      </c>
      <c r="U15" s="265">
        <v>0</v>
      </c>
      <c r="V15" s="264"/>
      <c r="W15" s="263"/>
      <c r="X15" s="266"/>
      <c r="Y15" s="266"/>
      <c r="Z15" s="266">
        <v>42</v>
      </c>
      <c r="AA15" s="266">
        <v>21.875</v>
      </c>
      <c r="AB15" s="266">
        <v>2.604166666666667</v>
      </c>
      <c r="AC15" s="250"/>
      <c r="AD15" s="267"/>
      <c r="AE15" s="267">
        <v>46155</v>
      </c>
      <c r="AF15" s="264"/>
      <c r="AG15" s="267"/>
      <c r="AH15" s="266"/>
      <c r="AI15" s="265"/>
      <c r="AJ15" s="263">
        <v>2</v>
      </c>
      <c r="AK15" s="266">
        <v>5</v>
      </c>
      <c r="AL15" s="266">
        <v>5</v>
      </c>
      <c r="AM15" s="251"/>
    </row>
    <row r="16" spans="1:39" x14ac:dyDescent="0.3">
      <c r="A16" s="156" t="s">
        <v>493</v>
      </c>
      <c r="B16" s="156" t="s">
        <v>544</v>
      </c>
      <c r="C16" s="156" t="s">
        <v>548</v>
      </c>
      <c r="D16" s="156">
        <v>1</v>
      </c>
      <c r="E16" s="156">
        <v>1.5</v>
      </c>
      <c r="F16" s="156">
        <v>1.5</v>
      </c>
      <c r="G16" s="156">
        <v>1.5</v>
      </c>
      <c r="H16" s="156">
        <v>0.5</v>
      </c>
      <c r="I16" s="156"/>
      <c r="J16" s="263">
        <v>6</v>
      </c>
      <c r="K16" s="264"/>
      <c r="L16" s="156">
        <v>4</v>
      </c>
      <c r="M16" s="156" t="s">
        <v>549</v>
      </c>
      <c r="N16" s="265"/>
      <c r="O16" s="265"/>
      <c r="P16" s="265"/>
      <c r="Q16" s="265"/>
      <c r="R16" s="266">
        <v>6</v>
      </c>
      <c r="S16" s="267">
        <v>46155</v>
      </c>
      <c r="T16" s="268">
        <v>2</v>
      </c>
      <c r="U16" s="265">
        <v>0</v>
      </c>
      <c r="V16" s="264"/>
      <c r="W16" s="263"/>
      <c r="X16" s="266"/>
      <c r="Y16" s="266"/>
      <c r="Z16" s="266">
        <v>48</v>
      </c>
      <c r="AA16" s="266">
        <v>25</v>
      </c>
      <c r="AB16" s="266">
        <v>3.125</v>
      </c>
      <c r="AC16" s="250"/>
      <c r="AD16" s="267"/>
      <c r="AE16" s="267">
        <v>46155</v>
      </c>
      <c r="AF16" s="264"/>
      <c r="AG16" s="267"/>
      <c r="AH16" s="266"/>
      <c r="AI16" s="265"/>
      <c r="AJ16" s="263">
        <v>2</v>
      </c>
      <c r="AK16" s="266">
        <v>6</v>
      </c>
      <c r="AL16" s="266">
        <v>6</v>
      </c>
      <c r="AM16" s="251"/>
    </row>
    <row r="17" spans="1:39" x14ac:dyDescent="0.3">
      <c r="A17" s="156" t="s">
        <v>493</v>
      </c>
      <c r="B17" s="156" t="s">
        <v>550</v>
      </c>
      <c r="C17" s="156" t="s">
        <v>551</v>
      </c>
      <c r="D17" s="156">
        <v>0</v>
      </c>
      <c r="E17" s="156">
        <v>5.5</v>
      </c>
      <c r="F17" s="156">
        <v>0.5</v>
      </c>
      <c r="G17" s="156">
        <v>1</v>
      </c>
      <c r="H17" s="156">
        <v>1</v>
      </c>
      <c r="I17" s="156"/>
      <c r="J17" s="263">
        <v>8</v>
      </c>
      <c r="K17" s="264"/>
      <c r="L17" s="156"/>
      <c r="M17" s="156"/>
      <c r="N17" s="265"/>
      <c r="O17" s="265"/>
      <c r="P17" s="265"/>
      <c r="Q17" s="265"/>
      <c r="R17" s="266">
        <v>8</v>
      </c>
      <c r="S17" s="267">
        <v>46155</v>
      </c>
      <c r="T17" s="268">
        <v>2</v>
      </c>
      <c r="U17" s="265">
        <v>0</v>
      </c>
      <c r="V17" s="264"/>
      <c r="W17" s="263"/>
      <c r="X17" s="266"/>
      <c r="Y17" s="266"/>
      <c r="Z17" s="266">
        <v>56</v>
      </c>
      <c r="AA17" s="266">
        <v>29.166666666666664</v>
      </c>
      <c r="AB17" s="266">
        <v>4.1666666666666661</v>
      </c>
      <c r="AC17" s="250"/>
      <c r="AD17" s="267"/>
      <c r="AE17" s="267">
        <v>46155</v>
      </c>
      <c r="AF17" s="264"/>
      <c r="AG17" s="267"/>
      <c r="AH17" s="266"/>
      <c r="AI17" s="265"/>
      <c r="AJ17" s="263">
        <v>2</v>
      </c>
      <c r="AK17" s="266">
        <v>8</v>
      </c>
      <c r="AL17" s="266">
        <v>8</v>
      </c>
      <c r="AM17" s="251"/>
    </row>
    <row r="18" spans="1:39" x14ac:dyDescent="0.3">
      <c r="A18" s="156" t="s">
        <v>493</v>
      </c>
      <c r="B18" s="156" t="s">
        <v>550</v>
      </c>
      <c r="C18" s="156" t="s">
        <v>552</v>
      </c>
      <c r="D18" s="156">
        <v>0</v>
      </c>
      <c r="E18" s="156">
        <v>5</v>
      </c>
      <c r="F18" s="156">
        <v>0.5</v>
      </c>
      <c r="G18" s="156">
        <v>0.5</v>
      </c>
      <c r="H18" s="156">
        <v>0</v>
      </c>
      <c r="I18" s="156"/>
      <c r="J18" s="263">
        <v>6</v>
      </c>
      <c r="K18" s="264"/>
      <c r="L18" s="156"/>
      <c r="M18" s="156"/>
      <c r="N18" s="265"/>
      <c r="O18" s="265"/>
      <c r="P18" s="265"/>
      <c r="Q18" s="265"/>
      <c r="R18" s="266">
        <v>6</v>
      </c>
      <c r="S18" s="267">
        <v>46155</v>
      </c>
      <c r="T18" s="268">
        <v>2</v>
      </c>
      <c r="U18" s="265">
        <v>0</v>
      </c>
      <c r="V18" s="264"/>
      <c r="W18" s="263"/>
      <c r="X18" s="266"/>
      <c r="Y18" s="266"/>
      <c r="Z18" s="266">
        <v>62</v>
      </c>
      <c r="AA18" s="266">
        <v>32.291666666666664</v>
      </c>
      <c r="AB18" s="266">
        <v>3.125</v>
      </c>
      <c r="AC18" s="250"/>
      <c r="AD18" s="267"/>
      <c r="AE18" s="267">
        <v>46155</v>
      </c>
      <c r="AF18" s="264"/>
      <c r="AG18" s="267"/>
      <c r="AH18" s="266"/>
      <c r="AI18" s="265"/>
      <c r="AJ18" s="263">
        <v>2</v>
      </c>
      <c r="AK18" s="266">
        <v>6</v>
      </c>
      <c r="AL18" s="266">
        <v>6</v>
      </c>
      <c r="AM18" s="251"/>
    </row>
    <row r="19" spans="1:39" x14ac:dyDescent="0.3">
      <c r="A19" s="156" t="s">
        <v>493</v>
      </c>
      <c r="B19" s="156" t="s">
        <v>550</v>
      </c>
      <c r="C19" s="156" t="s">
        <v>553</v>
      </c>
      <c r="D19" s="156">
        <v>0</v>
      </c>
      <c r="E19" s="156">
        <v>5</v>
      </c>
      <c r="F19" s="156">
        <v>0</v>
      </c>
      <c r="G19" s="156">
        <v>0.5</v>
      </c>
      <c r="H19" s="156">
        <v>0.5</v>
      </c>
      <c r="I19" s="156"/>
      <c r="J19" s="263">
        <v>6</v>
      </c>
      <c r="K19" s="156"/>
      <c r="L19" s="156"/>
      <c r="M19" s="156"/>
      <c r="N19" s="265"/>
      <c r="O19" s="265"/>
      <c r="P19" s="265"/>
      <c r="Q19" s="265"/>
      <c r="R19" s="266">
        <v>6</v>
      </c>
      <c r="S19" s="267">
        <v>46162</v>
      </c>
      <c r="T19" s="268">
        <v>3</v>
      </c>
      <c r="U19" s="265">
        <v>0</v>
      </c>
      <c r="V19" s="264"/>
      <c r="W19" s="263"/>
      <c r="X19" s="266"/>
      <c r="Y19" s="266"/>
      <c r="Z19" s="266">
        <v>68</v>
      </c>
      <c r="AA19" s="266">
        <v>35.416666666666664</v>
      </c>
      <c r="AB19" s="266">
        <v>3.125</v>
      </c>
      <c r="AC19" s="250"/>
      <c r="AD19" s="267"/>
      <c r="AE19" s="267">
        <v>46162</v>
      </c>
      <c r="AF19" s="264"/>
      <c r="AG19" s="267"/>
      <c r="AH19" s="266"/>
      <c r="AI19" s="265"/>
      <c r="AJ19" s="263">
        <v>2</v>
      </c>
      <c r="AK19" s="266">
        <v>4</v>
      </c>
      <c r="AL19" s="266">
        <v>2</v>
      </c>
      <c r="AM19" s="251"/>
    </row>
    <row r="20" spans="1:39" x14ac:dyDescent="0.3">
      <c r="A20" s="156" t="s">
        <v>493</v>
      </c>
      <c r="B20" s="156" t="s">
        <v>550</v>
      </c>
      <c r="C20" s="156" t="s">
        <v>554</v>
      </c>
      <c r="D20" s="156">
        <v>0</v>
      </c>
      <c r="E20" s="156">
        <v>9</v>
      </c>
      <c r="F20" s="156">
        <v>0</v>
      </c>
      <c r="G20" s="156">
        <v>0.5</v>
      </c>
      <c r="H20" s="156">
        <v>0.5</v>
      </c>
      <c r="I20" s="156"/>
      <c r="J20" s="263">
        <v>10</v>
      </c>
      <c r="K20" s="264"/>
      <c r="L20" s="156"/>
      <c r="M20" s="156"/>
      <c r="N20" s="265"/>
      <c r="O20" s="265"/>
      <c r="P20" s="265"/>
      <c r="Q20" s="265"/>
      <c r="R20" s="266">
        <v>10</v>
      </c>
      <c r="S20" s="267">
        <v>46162</v>
      </c>
      <c r="T20" s="268">
        <v>3</v>
      </c>
      <c r="U20" s="265">
        <v>0</v>
      </c>
      <c r="V20" s="264"/>
      <c r="W20" s="263"/>
      <c r="X20" s="266"/>
      <c r="Y20" s="266"/>
      <c r="Z20" s="266">
        <v>78</v>
      </c>
      <c r="AA20" s="266">
        <v>40.625</v>
      </c>
      <c r="AB20" s="266">
        <v>5.2083333333333339</v>
      </c>
      <c r="AC20" s="250"/>
      <c r="AD20" s="267"/>
      <c r="AE20" s="267">
        <v>46162</v>
      </c>
      <c r="AF20" s="264"/>
      <c r="AG20" s="267"/>
      <c r="AH20" s="266"/>
      <c r="AI20" s="265"/>
      <c r="AJ20" s="263">
        <v>3</v>
      </c>
      <c r="AK20" s="266">
        <v>10</v>
      </c>
      <c r="AL20" s="266">
        <v>10</v>
      </c>
      <c r="AM20" s="251"/>
    </row>
    <row r="21" spans="1:39" x14ac:dyDescent="0.3">
      <c r="A21" s="156" t="s">
        <v>493</v>
      </c>
      <c r="B21" s="156" t="s">
        <v>550</v>
      </c>
      <c r="C21" s="156" t="s">
        <v>555</v>
      </c>
      <c r="D21" s="156">
        <v>1</v>
      </c>
      <c r="E21" s="156">
        <v>2</v>
      </c>
      <c r="F21" s="156">
        <v>1</v>
      </c>
      <c r="G21" s="156">
        <v>1</v>
      </c>
      <c r="H21" s="156">
        <v>0</v>
      </c>
      <c r="I21" s="156"/>
      <c r="J21" s="263">
        <v>5</v>
      </c>
      <c r="K21" s="264"/>
      <c r="L21" s="156"/>
      <c r="M21" s="156"/>
      <c r="N21" s="265"/>
      <c r="O21" s="265"/>
      <c r="P21" s="265"/>
      <c r="Q21" s="265"/>
      <c r="R21" s="266">
        <v>5</v>
      </c>
      <c r="S21" s="267">
        <v>46162</v>
      </c>
      <c r="T21" s="268">
        <v>3</v>
      </c>
      <c r="U21" s="265">
        <v>0</v>
      </c>
      <c r="V21" s="264"/>
      <c r="W21" s="263"/>
      <c r="X21" s="266"/>
      <c r="Y21" s="266"/>
      <c r="Z21" s="266">
        <v>83</v>
      </c>
      <c r="AA21" s="266">
        <v>43.229166666666664</v>
      </c>
      <c r="AB21" s="266">
        <v>2.604166666666667</v>
      </c>
      <c r="AC21" s="250"/>
      <c r="AD21" s="267"/>
      <c r="AE21" s="267">
        <v>46162</v>
      </c>
      <c r="AF21" s="264"/>
      <c r="AG21" s="267"/>
      <c r="AH21" s="266"/>
      <c r="AI21" s="265"/>
      <c r="AJ21" s="263">
        <v>3</v>
      </c>
      <c r="AK21" s="266">
        <v>5</v>
      </c>
      <c r="AL21" s="266">
        <v>5</v>
      </c>
      <c r="AM21" s="251"/>
    </row>
    <row r="22" spans="1:39" x14ac:dyDescent="0.3">
      <c r="A22" s="156" t="s">
        <v>493</v>
      </c>
      <c r="B22" s="156" t="s">
        <v>550</v>
      </c>
      <c r="C22" s="156" t="s">
        <v>556</v>
      </c>
      <c r="D22" s="156">
        <v>0</v>
      </c>
      <c r="E22" s="156">
        <v>1</v>
      </c>
      <c r="F22" s="156">
        <v>0</v>
      </c>
      <c r="G22" s="156">
        <v>0</v>
      </c>
      <c r="H22" s="156">
        <v>3</v>
      </c>
      <c r="I22" s="156"/>
      <c r="J22" s="263">
        <v>4</v>
      </c>
      <c r="K22" s="156"/>
      <c r="L22" s="156">
        <v>200</v>
      </c>
      <c r="M22" s="156" t="s">
        <v>494</v>
      </c>
      <c r="N22" s="265"/>
      <c r="O22" s="265"/>
      <c r="P22" s="265"/>
      <c r="Q22" s="265"/>
      <c r="R22" s="266">
        <v>4</v>
      </c>
      <c r="S22" s="267">
        <v>46162</v>
      </c>
      <c r="T22" s="268">
        <v>3</v>
      </c>
      <c r="U22" s="265">
        <v>0</v>
      </c>
      <c r="V22" s="264"/>
      <c r="W22" s="263"/>
      <c r="X22" s="266"/>
      <c r="Y22" s="266"/>
      <c r="Z22" s="266">
        <v>87</v>
      </c>
      <c r="AA22" s="266">
        <v>45.3125</v>
      </c>
      <c r="AB22" s="266">
        <v>2.083333333333333</v>
      </c>
      <c r="AC22" s="250"/>
      <c r="AD22" s="267"/>
      <c r="AE22" s="267">
        <v>46162</v>
      </c>
      <c r="AF22" s="264"/>
      <c r="AG22" s="267"/>
      <c r="AH22" s="266"/>
      <c r="AI22" s="265"/>
      <c r="AJ22" s="263">
        <v>3</v>
      </c>
      <c r="AK22" s="266">
        <v>4</v>
      </c>
      <c r="AL22" s="266">
        <v>4</v>
      </c>
      <c r="AM22" s="251"/>
    </row>
    <row r="23" spans="1:39" x14ac:dyDescent="0.3">
      <c r="A23" s="156" t="s">
        <v>500</v>
      </c>
      <c r="B23" s="156" t="s">
        <v>557</v>
      </c>
      <c r="C23" s="156" t="s">
        <v>558</v>
      </c>
      <c r="D23" s="156">
        <v>0</v>
      </c>
      <c r="E23" s="156">
        <v>7</v>
      </c>
      <c r="F23" s="156">
        <v>0</v>
      </c>
      <c r="G23" s="156">
        <v>0.5</v>
      </c>
      <c r="H23" s="156">
        <v>0.5</v>
      </c>
      <c r="I23" s="156"/>
      <c r="J23" s="263">
        <v>8</v>
      </c>
      <c r="K23" s="264"/>
      <c r="L23" s="156">
        <v>150</v>
      </c>
      <c r="M23" s="156" t="s">
        <v>494</v>
      </c>
      <c r="N23" s="265"/>
      <c r="O23" s="265"/>
      <c r="P23" s="265"/>
      <c r="Q23" s="265"/>
      <c r="R23" s="266">
        <v>8</v>
      </c>
      <c r="S23" s="267">
        <v>46162</v>
      </c>
      <c r="T23" s="268">
        <v>3</v>
      </c>
      <c r="U23" s="265">
        <v>0</v>
      </c>
      <c r="V23" s="264"/>
      <c r="W23" s="263"/>
      <c r="X23" s="266"/>
      <c r="Y23" s="266"/>
      <c r="Z23" s="266">
        <v>95</v>
      </c>
      <c r="AA23" s="266">
        <v>49.479166666666664</v>
      </c>
      <c r="AB23" s="266">
        <v>4.1666666666666661</v>
      </c>
      <c r="AC23" s="250"/>
      <c r="AD23" s="267"/>
      <c r="AE23" s="267">
        <v>46162</v>
      </c>
      <c r="AF23" s="264"/>
      <c r="AG23" s="267"/>
      <c r="AH23" s="266"/>
      <c r="AI23" s="265"/>
      <c r="AJ23" s="263">
        <v>3</v>
      </c>
      <c r="AK23" s="266">
        <v>8</v>
      </c>
      <c r="AL23" s="266">
        <v>8</v>
      </c>
      <c r="AM23" s="251"/>
    </row>
    <row r="24" spans="1:39" x14ac:dyDescent="0.3">
      <c r="A24" s="156" t="s">
        <v>502</v>
      </c>
      <c r="B24" s="156" t="s">
        <v>557</v>
      </c>
      <c r="C24" s="156" t="s">
        <v>559</v>
      </c>
      <c r="D24" s="156">
        <v>0</v>
      </c>
      <c r="E24" s="156">
        <v>11</v>
      </c>
      <c r="F24" s="156">
        <v>0</v>
      </c>
      <c r="G24" s="156">
        <v>0.5</v>
      </c>
      <c r="H24" s="156">
        <v>2.5</v>
      </c>
      <c r="I24" s="156"/>
      <c r="J24" s="263">
        <v>14</v>
      </c>
      <c r="K24" s="264"/>
      <c r="L24" s="156">
        <v>250</v>
      </c>
      <c r="M24" s="156" t="s">
        <v>494</v>
      </c>
      <c r="N24" s="265"/>
      <c r="O24" s="265"/>
      <c r="P24" s="265"/>
      <c r="Q24" s="265"/>
      <c r="R24" s="266">
        <v>14</v>
      </c>
      <c r="S24" s="267">
        <v>46162</v>
      </c>
      <c r="T24" s="268">
        <v>3</v>
      </c>
      <c r="U24" s="265">
        <v>0</v>
      </c>
      <c r="V24" s="264"/>
      <c r="W24" s="263"/>
      <c r="X24" s="266"/>
      <c r="Y24" s="266"/>
      <c r="Z24" s="266">
        <v>109</v>
      </c>
      <c r="AA24" s="266">
        <v>56.770833333333329</v>
      </c>
      <c r="AB24" s="266">
        <v>7.291666666666667</v>
      </c>
      <c r="AC24" s="250"/>
      <c r="AD24" s="267"/>
      <c r="AE24" s="267">
        <v>46162</v>
      </c>
      <c r="AF24" s="264"/>
      <c r="AG24" s="267"/>
      <c r="AH24" s="266"/>
      <c r="AI24" s="265"/>
      <c r="AJ24" s="263">
        <v>3</v>
      </c>
      <c r="AK24" s="266">
        <v>14</v>
      </c>
      <c r="AL24" s="266">
        <v>14</v>
      </c>
      <c r="AM24" s="251"/>
    </row>
    <row r="25" spans="1:39" x14ac:dyDescent="0.3">
      <c r="A25" s="156" t="s">
        <v>503</v>
      </c>
      <c r="B25" s="156" t="s">
        <v>557</v>
      </c>
      <c r="C25" s="156" t="s">
        <v>560</v>
      </c>
      <c r="D25" s="156">
        <v>0</v>
      </c>
      <c r="E25" s="156">
        <v>11.5</v>
      </c>
      <c r="F25" s="156">
        <v>0</v>
      </c>
      <c r="G25" s="156">
        <v>0.75</v>
      </c>
      <c r="H25" s="156">
        <v>0.75</v>
      </c>
      <c r="I25" s="156"/>
      <c r="J25" s="263">
        <v>13</v>
      </c>
      <c r="K25" s="264"/>
      <c r="L25" s="156">
        <v>300</v>
      </c>
      <c r="M25" s="156" t="s">
        <v>494</v>
      </c>
      <c r="N25" s="265"/>
      <c r="O25" s="265"/>
      <c r="P25" s="265"/>
      <c r="Q25" s="265"/>
      <c r="R25" s="266">
        <v>13</v>
      </c>
      <c r="S25" s="267">
        <v>46169</v>
      </c>
      <c r="T25" s="268">
        <v>4</v>
      </c>
      <c r="U25" s="265">
        <v>0</v>
      </c>
      <c r="V25" s="264"/>
      <c r="W25" s="263"/>
      <c r="X25" s="266"/>
      <c r="Y25" s="266"/>
      <c r="Z25" s="266">
        <v>122</v>
      </c>
      <c r="AA25" s="266">
        <v>63.541666666666664</v>
      </c>
      <c r="AB25" s="266">
        <v>6.770833333333333</v>
      </c>
      <c r="AC25" s="250"/>
      <c r="AD25" s="267"/>
      <c r="AE25" s="267">
        <v>46169</v>
      </c>
      <c r="AF25" s="264"/>
      <c r="AG25" s="267"/>
      <c r="AH25" s="266"/>
      <c r="AI25" s="265"/>
      <c r="AJ25" s="263">
        <v>3</v>
      </c>
      <c r="AK25" s="266">
        <v>5</v>
      </c>
      <c r="AL25" s="266">
        <v>8</v>
      </c>
      <c r="AM25" s="251"/>
    </row>
    <row r="26" spans="1:39" x14ac:dyDescent="0.3">
      <c r="A26" s="154" t="s">
        <v>504</v>
      </c>
      <c r="B26" s="156" t="s">
        <v>557</v>
      </c>
      <c r="C26" s="156" t="s">
        <v>561</v>
      </c>
      <c r="D26" s="156">
        <v>0</v>
      </c>
      <c r="E26" s="156">
        <v>14.5</v>
      </c>
      <c r="F26" s="156">
        <v>0</v>
      </c>
      <c r="G26" s="156">
        <v>0.75</v>
      </c>
      <c r="H26" s="156">
        <v>0.75</v>
      </c>
      <c r="I26" s="156"/>
      <c r="J26" s="263">
        <v>16</v>
      </c>
      <c r="K26" s="264"/>
      <c r="L26" s="156">
        <v>400</v>
      </c>
      <c r="M26" s="156" t="s">
        <v>494</v>
      </c>
      <c r="N26" s="265"/>
      <c r="O26" s="265"/>
      <c r="P26" s="265"/>
      <c r="Q26" s="265"/>
      <c r="R26" s="266">
        <v>16</v>
      </c>
      <c r="S26" s="267">
        <v>46169</v>
      </c>
      <c r="T26" s="268">
        <v>4</v>
      </c>
      <c r="U26" s="265">
        <v>0</v>
      </c>
      <c r="V26" s="264"/>
      <c r="W26" s="263"/>
      <c r="X26" s="266"/>
      <c r="Y26" s="266"/>
      <c r="Z26" s="266">
        <v>138</v>
      </c>
      <c r="AA26" s="266">
        <v>71.875</v>
      </c>
      <c r="AB26" s="266">
        <v>8.3333333333333321</v>
      </c>
      <c r="AC26" s="250"/>
      <c r="AD26" s="267"/>
      <c r="AE26" s="267">
        <v>46169</v>
      </c>
      <c r="AF26" s="264"/>
      <c r="AG26" s="267"/>
      <c r="AH26" s="266"/>
      <c r="AI26" s="265"/>
      <c r="AJ26" s="263">
        <v>4</v>
      </c>
      <c r="AK26" s="266">
        <v>16</v>
      </c>
      <c r="AL26" s="266">
        <v>16</v>
      </c>
      <c r="AM26" s="251"/>
    </row>
    <row r="27" spans="1:39" x14ac:dyDescent="0.3">
      <c r="A27" s="156" t="s">
        <v>493</v>
      </c>
      <c r="B27" s="156" t="s">
        <v>557</v>
      </c>
      <c r="C27" s="156" t="s">
        <v>562</v>
      </c>
      <c r="D27" s="156">
        <v>0.5</v>
      </c>
      <c r="E27" s="156">
        <v>2</v>
      </c>
      <c r="F27" s="156">
        <v>0</v>
      </c>
      <c r="G27" s="156">
        <v>1.5</v>
      </c>
      <c r="H27" s="156">
        <v>0</v>
      </c>
      <c r="I27" s="156"/>
      <c r="J27" s="263">
        <v>4</v>
      </c>
      <c r="K27" s="156"/>
      <c r="L27" s="156"/>
      <c r="M27" s="156"/>
      <c r="N27" s="265"/>
      <c r="O27" s="265"/>
      <c r="P27" s="265"/>
      <c r="Q27" s="265"/>
      <c r="R27" s="266">
        <v>4</v>
      </c>
      <c r="S27" s="267">
        <v>46169</v>
      </c>
      <c r="T27" s="268">
        <v>4</v>
      </c>
      <c r="U27" s="265">
        <v>0</v>
      </c>
      <c r="V27" s="264"/>
      <c r="W27" s="263"/>
      <c r="X27" s="266"/>
      <c r="Y27" s="266"/>
      <c r="Z27" s="266">
        <v>142</v>
      </c>
      <c r="AA27" s="266">
        <v>73.958333333333329</v>
      </c>
      <c r="AB27" s="266">
        <v>2.083333333333333</v>
      </c>
      <c r="AC27" s="250"/>
      <c r="AD27" s="267"/>
      <c r="AE27" s="267">
        <v>46169</v>
      </c>
      <c r="AF27" s="264"/>
      <c r="AG27" s="267"/>
      <c r="AH27" s="266"/>
      <c r="AI27" s="265"/>
      <c r="AJ27" s="263">
        <v>4</v>
      </c>
      <c r="AK27" s="266">
        <v>4</v>
      </c>
      <c r="AL27" s="266">
        <v>4</v>
      </c>
      <c r="AM27" s="251"/>
    </row>
    <row r="28" spans="1:39" x14ac:dyDescent="0.3">
      <c r="A28" s="156" t="s">
        <v>493</v>
      </c>
      <c r="B28" s="156" t="s">
        <v>557</v>
      </c>
      <c r="C28" s="156" t="s">
        <v>563</v>
      </c>
      <c r="D28" s="156">
        <v>0</v>
      </c>
      <c r="E28" s="156">
        <v>1.5</v>
      </c>
      <c r="F28" s="156">
        <v>0</v>
      </c>
      <c r="G28" s="156">
        <v>0.5</v>
      </c>
      <c r="H28" s="156">
        <v>0</v>
      </c>
      <c r="I28" s="156"/>
      <c r="J28" s="263">
        <v>2</v>
      </c>
      <c r="K28" s="156"/>
      <c r="L28" s="156"/>
      <c r="M28" s="156"/>
      <c r="N28" s="265"/>
      <c r="O28" s="265"/>
      <c r="P28" s="265"/>
      <c r="Q28" s="265"/>
      <c r="R28" s="266">
        <v>2</v>
      </c>
      <c r="S28" s="267">
        <v>46169</v>
      </c>
      <c r="T28" s="268">
        <v>4</v>
      </c>
      <c r="U28" s="265">
        <v>0</v>
      </c>
      <c r="V28" s="264"/>
      <c r="W28" s="263"/>
      <c r="X28" s="266"/>
      <c r="Y28" s="266"/>
      <c r="Z28" s="266">
        <v>144</v>
      </c>
      <c r="AA28" s="266">
        <v>75</v>
      </c>
      <c r="AB28" s="266">
        <v>1.0416666666666665</v>
      </c>
      <c r="AC28" s="250"/>
      <c r="AD28" s="267"/>
      <c r="AE28" s="267">
        <v>46169</v>
      </c>
      <c r="AF28" s="264"/>
      <c r="AG28" s="267"/>
      <c r="AH28" s="266"/>
      <c r="AI28" s="265"/>
      <c r="AJ28" s="263">
        <v>4</v>
      </c>
      <c r="AK28" s="266">
        <v>2</v>
      </c>
      <c r="AL28" s="266">
        <v>2</v>
      </c>
      <c r="AM28" s="251"/>
    </row>
    <row r="29" spans="1:39" x14ac:dyDescent="0.3">
      <c r="A29" s="156" t="s">
        <v>493</v>
      </c>
      <c r="B29" s="156" t="s">
        <v>564</v>
      </c>
      <c r="C29" s="156" t="s">
        <v>565</v>
      </c>
      <c r="D29" s="156">
        <v>0</v>
      </c>
      <c r="E29" s="156">
        <v>13</v>
      </c>
      <c r="F29" s="156">
        <v>0</v>
      </c>
      <c r="G29" s="156">
        <v>4</v>
      </c>
      <c r="H29" s="156">
        <v>0</v>
      </c>
      <c r="I29" s="156"/>
      <c r="J29" s="263">
        <v>17</v>
      </c>
      <c r="K29" s="156"/>
      <c r="L29" s="156"/>
      <c r="M29" s="156"/>
      <c r="N29" s="265"/>
      <c r="O29" s="265"/>
      <c r="P29" s="265"/>
      <c r="Q29" s="265"/>
      <c r="R29" s="266">
        <v>17</v>
      </c>
      <c r="S29" s="267">
        <v>46169</v>
      </c>
      <c r="T29" s="268">
        <v>4</v>
      </c>
      <c r="U29" s="265">
        <v>0</v>
      </c>
      <c r="V29" s="264"/>
      <c r="W29" s="263"/>
      <c r="X29" s="266"/>
      <c r="Y29" s="266"/>
      <c r="Z29" s="266">
        <v>161</v>
      </c>
      <c r="AA29" s="266">
        <v>83.854166666666671</v>
      </c>
      <c r="AB29" s="266">
        <v>8.8541666666666679</v>
      </c>
      <c r="AC29" s="250"/>
      <c r="AD29" s="267"/>
      <c r="AE29" s="267">
        <v>46169</v>
      </c>
      <c r="AF29" s="264"/>
      <c r="AG29" s="267"/>
      <c r="AH29" s="266"/>
      <c r="AI29" s="265"/>
      <c r="AJ29" s="263">
        <v>4</v>
      </c>
      <c r="AK29" s="266">
        <v>17</v>
      </c>
      <c r="AL29" s="266">
        <v>17</v>
      </c>
      <c r="AM29" s="251"/>
    </row>
    <row r="30" spans="1:39" x14ac:dyDescent="0.3">
      <c r="A30" s="156" t="s">
        <v>493</v>
      </c>
      <c r="B30" s="156" t="s">
        <v>564</v>
      </c>
      <c r="C30" s="156" t="s">
        <v>566</v>
      </c>
      <c r="D30" s="156">
        <v>0</v>
      </c>
      <c r="E30" s="156">
        <v>5</v>
      </c>
      <c r="F30" s="156">
        <v>0</v>
      </c>
      <c r="G30" s="156">
        <v>3</v>
      </c>
      <c r="H30" s="156">
        <v>0</v>
      </c>
      <c r="I30" s="156"/>
      <c r="J30" s="263">
        <v>8</v>
      </c>
      <c r="K30" s="156"/>
      <c r="L30" s="156"/>
      <c r="M30" s="156"/>
      <c r="N30" s="265"/>
      <c r="O30" s="265"/>
      <c r="P30" s="265"/>
      <c r="Q30" s="265"/>
      <c r="R30" s="266">
        <v>8</v>
      </c>
      <c r="S30" s="267">
        <v>46176</v>
      </c>
      <c r="T30" s="268">
        <v>5</v>
      </c>
      <c r="U30" s="265">
        <v>0</v>
      </c>
      <c r="V30" s="264"/>
      <c r="W30" s="263"/>
      <c r="X30" s="266"/>
      <c r="Y30" s="266"/>
      <c r="Z30" s="266">
        <v>169</v>
      </c>
      <c r="AA30" s="266">
        <v>88.020833333333343</v>
      </c>
      <c r="AB30" s="266">
        <v>4.1666666666666661</v>
      </c>
      <c r="AC30" s="250"/>
      <c r="AD30" s="267"/>
      <c r="AE30" s="267">
        <v>46176</v>
      </c>
      <c r="AF30" s="264"/>
      <c r="AG30" s="267"/>
      <c r="AH30" s="266"/>
      <c r="AI30" s="265"/>
      <c r="AJ30" s="263">
        <v>4</v>
      </c>
      <c r="AK30" s="266">
        <v>7</v>
      </c>
      <c r="AL30" s="266">
        <v>1</v>
      </c>
      <c r="AM30" s="251"/>
    </row>
    <row r="31" spans="1:39" x14ac:dyDescent="0.3">
      <c r="A31" s="156" t="s">
        <v>493</v>
      </c>
      <c r="B31" s="156" t="s">
        <v>564</v>
      </c>
      <c r="C31" s="156" t="s">
        <v>567</v>
      </c>
      <c r="D31" s="156">
        <v>0</v>
      </c>
      <c r="E31" s="156">
        <v>3</v>
      </c>
      <c r="F31" s="156">
        <v>0</v>
      </c>
      <c r="G31" s="156">
        <v>3</v>
      </c>
      <c r="H31" s="156">
        <v>0</v>
      </c>
      <c r="I31" s="156"/>
      <c r="J31" s="263">
        <v>6</v>
      </c>
      <c r="K31" s="156"/>
      <c r="L31" s="156"/>
      <c r="M31" s="156"/>
      <c r="N31" s="265"/>
      <c r="O31" s="265"/>
      <c r="P31" s="265"/>
      <c r="Q31" s="265"/>
      <c r="R31" s="266">
        <v>6</v>
      </c>
      <c r="S31" s="267">
        <v>46176</v>
      </c>
      <c r="T31" s="268">
        <v>5</v>
      </c>
      <c r="U31" s="265">
        <v>0</v>
      </c>
      <c r="V31" s="264"/>
      <c r="W31" s="263"/>
      <c r="X31" s="266"/>
      <c r="Y31" s="266"/>
      <c r="Z31" s="266">
        <v>175</v>
      </c>
      <c r="AA31" s="266">
        <v>91.145833333333343</v>
      </c>
      <c r="AB31" s="266">
        <v>3.125</v>
      </c>
      <c r="AC31" s="250"/>
      <c r="AD31" s="267"/>
      <c r="AE31" s="267">
        <v>46176</v>
      </c>
      <c r="AF31" s="264"/>
      <c r="AG31" s="267"/>
      <c r="AH31" s="266"/>
      <c r="AI31" s="265"/>
      <c r="AJ31" s="263">
        <v>5</v>
      </c>
      <c r="AK31" s="266">
        <v>6</v>
      </c>
      <c r="AL31" s="266">
        <v>6</v>
      </c>
      <c r="AM31" s="251"/>
    </row>
    <row r="32" spans="1:39" x14ac:dyDescent="0.3">
      <c r="A32" s="156" t="s">
        <v>493</v>
      </c>
      <c r="B32" s="156" t="s">
        <v>564</v>
      </c>
      <c r="C32" s="156" t="s">
        <v>568</v>
      </c>
      <c r="D32" s="156">
        <v>0</v>
      </c>
      <c r="E32" s="156">
        <v>0</v>
      </c>
      <c r="F32" s="156">
        <v>0</v>
      </c>
      <c r="G32" s="156">
        <v>0</v>
      </c>
      <c r="H32" s="156">
        <v>3</v>
      </c>
      <c r="I32" s="156"/>
      <c r="J32" s="263">
        <v>3</v>
      </c>
      <c r="K32" s="264"/>
      <c r="L32" s="156"/>
      <c r="M32" s="156"/>
      <c r="N32" s="265"/>
      <c r="O32" s="265"/>
      <c r="P32" s="265"/>
      <c r="Q32" s="265"/>
      <c r="R32" s="266">
        <v>3</v>
      </c>
      <c r="S32" s="267">
        <v>46176</v>
      </c>
      <c r="T32" s="268">
        <v>5</v>
      </c>
      <c r="U32" s="265">
        <v>0</v>
      </c>
      <c r="V32" s="264"/>
      <c r="W32" s="263"/>
      <c r="X32" s="266"/>
      <c r="Y32" s="266"/>
      <c r="Z32" s="266">
        <v>178</v>
      </c>
      <c r="AA32" s="266">
        <v>92.708333333333343</v>
      </c>
      <c r="AB32" s="266">
        <v>1.5625</v>
      </c>
      <c r="AC32" s="250"/>
      <c r="AD32" s="267"/>
      <c r="AE32" s="267">
        <v>46176</v>
      </c>
      <c r="AF32" s="264"/>
      <c r="AG32" s="267"/>
      <c r="AH32" s="266"/>
      <c r="AI32" s="265"/>
      <c r="AJ32" s="263">
        <v>5</v>
      </c>
      <c r="AK32" s="266">
        <v>3</v>
      </c>
      <c r="AL32" s="266">
        <v>3</v>
      </c>
      <c r="AM32" s="251"/>
    </row>
    <row r="33" spans="1:39" x14ac:dyDescent="0.3">
      <c r="A33" s="156" t="s">
        <v>493</v>
      </c>
      <c r="B33" s="156" t="s">
        <v>564</v>
      </c>
      <c r="C33" s="156" t="s">
        <v>569</v>
      </c>
      <c r="D33" s="156">
        <v>0</v>
      </c>
      <c r="E33" s="156">
        <v>3</v>
      </c>
      <c r="F33" s="156">
        <v>0</v>
      </c>
      <c r="G33" s="156">
        <v>1</v>
      </c>
      <c r="H33" s="156">
        <v>0</v>
      </c>
      <c r="I33" s="156"/>
      <c r="J33" s="263">
        <v>4</v>
      </c>
      <c r="K33" s="264"/>
      <c r="L33" s="156"/>
      <c r="M33" s="156"/>
      <c r="N33" s="265"/>
      <c r="O33" s="265"/>
      <c r="P33" s="265"/>
      <c r="Q33" s="265"/>
      <c r="R33" s="266">
        <v>4</v>
      </c>
      <c r="S33" s="267">
        <v>46176</v>
      </c>
      <c r="T33" s="268">
        <v>5</v>
      </c>
      <c r="U33" s="265">
        <v>0</v>
      </c>
      <c r="V33" s="264"/>
      <c r="W33" s="263"/>
      <c r="X33" s="266"/>
      <c r="Y33" s="266"/>
      <c r="Z33" s="266">
        <v>182</v>
      </c>
      <c r="AA33" s="266">
        <v>94.791666666666671</v>
      </c>
      <c r="AB33" s="266">
        <v>2.083333333333333</v>
      </c>
      <c r="AC33" s="250"/>
      <c r="AD33" s="267"/>
      <c r="AE33" s="267">
        <v>46176</v>
      </c>
      <c r="AF33" s="264"/>
      <c r="AG33" s="267"/>
      <c r="AH33" s="266"/>
      <c r="AI33" s="265"/>
      <c r="AJ33" s="263">
        <v>5</v>
      </c>
      <c r="AK33" s="266">
        <v>4</v>
      </c>
      <c r="AL33" s="266">
        <v>4</v>
      </c>
      <c r="AM33" s="251"/>
    </row>
    <row r="34" spans="1:39" x14ac:dyDescent="0.3">
      <c r="A34" s="156" t="s">
        <v>493</v>
      </c>
      <c r="B34" s="156" t="s">
        <v>131</v>
      </c>
      <c r="C34" s="156" t="s">
        <v>570</v>
      </c>
      <c r="D34" s="156">
        <v>0.5</v>
      </c>
      <c r="E34" s="156">
        <v>1</v>
      </c>
      <c r="F34" s="156">
        <v>1</v>
      </c>
      <c r="G34" s="156">
        <v>0.5</v>
      </c>
      <c r="H34" s="156">
        <v>0</v>
      </c>
      <c r="I34" s="156"/>
      <c r="J34" s="263">
        <v>3</v>
      </c>
      <c r="K34" s="264"/>
      <c r="L34" s="156"/>
      <c r="M34" s="156"/>
      <c r="N34" s="265"/>
      <c r="O34" s="265"/>
      <c r="P34" s="265"/>
      <c r="Q34" s="265"/>
      <c r="R34" s="266">
        <v>3</v>
      </c>
      <c r="S34" s="267">
        <v>46176</v>
      </c>
      <c r="T34" s="268">
        <v>5</v>
      </c>
      <c r="U34" s="265">
        <v>0</v>
      </c>
      <c r="V34" s="264"/>
      <c r="W34" s="263"/>
      <c r="X34" s="266"/>
      <c r="Y34" s="266"/>
      <c r="Z34" s="266">
        <v>185</v>
      </c>
      <c r="AA34" s="266">
        <v>96.354166666666671</v>
      </c>
      <c r="AB34" s="266">
        <v>1.5625</v>
      </c>
      <c r="AC34" s="250"/>
      <c r="AD34" s="267"/>
      <c r="AE34" s="267">
        <v>46176</v>
      </c>
      <c r="AF34" s="264"/>
      <c r="AG34" s="267"/>
      <c r="AH34" s="266"/>
      <c r="AI34" s="265"/>
      <c r="AJ34" s="263">
        <v>5</v>
      </c>
      <c r="AK34" s="266">
        <v>3</v>
      </c>
      <c r="AL34" s="266">
        <v>3</v>
      </c>
      <c r="AM34" s="251"/>
    </row>
    <row r="35" spans="1:39" x14ac:dyDescent="0.3">
      <c r="A35" s="156" t="s">
        <v>493</v>
      </c>
      <c r="B35" s="156" t="s">
        <v>131</v>
      </c>
      <c r="C35" s="156" t="s">
        <v>571</v>
      </c>
      <c r="D35" s="156">
        <v>1</v>
      </c>
      <c r="E35" s="156">
        <v>0.5</v>
      </c>
      <c r="F35" s="156">
        <v>1</v>
      </c>
      <c r="G35" s="156">
        <v>0.5</v>
      </c>
      <c r="H35" s="156">
        <v>0</v>
      </c>
      <c r="I35" s="156"/>
      <c r="J35" s="263">
        <v>3</v>
      </c>
      <c r="K35" s="264"/>
      <c r="L35" s="156">
        <v>6</v>
      </c>
      <c r="M35" s="156" t="s">
        <v>549</v>
      </c>
      <c r="N35" s="265"/>
      <c r="O35" s="265"/>
      <c r="P35" s="265"/>
      <c r="Q35" s="265"/>
      <c r="R35" s="266">
        <v>3</v>
      </c>
      <c r="S35" s="267">
        <v>46176</v>
      </c>
      <c r="T35" s="268">
        <v>5</v>
      </c>
      <c r="U35" s="265">
        <v>0</v>
      </c>
      <c r="V35" s="264"/>
      <c r="W35" s="263"/>
      <c r="X35" s="266"/>
      <c r="Y35" s="266"/>
      <c r="Z35" s="266">
        <v>188</v>
      </c>
      <c r="AA35" s="266">
        <v>97.916666666666671</v>
      </c>
      <c r="AB35" s="266">
        <v>1.5625</v>
      </c>
      <c r="AC35" s="250"/>
      <c r="AD35" s="267"/>
      <c r="AE35" s="267">
        <v>46176</v>
      </c>
      <c r="AF35" s="264"/>
      <c r="AG35" s="267"/>
      <c r="AH35" s="266"/>
      <c r="AI35" s="265"/>
      <c r="AJ35" s="263">
        <v>5</v>
      </c>
      <c r="AK35" s="266">
        <v>3</v>
      </c>
      <c r="AL35" s="266">
        <v>3</v>
      </c>
      <c r="AM35" s="251"/>
    </row>
    <row r="36" spans="1:39" x14ac:dyDescent="0.3">
      <c r="A36" s="156" t="s">
        <v>493</v>
      </c>
      <c r="B36" s="156" t="s">
        <v>131</v>
      </c>
      <c r="C36" s="156" t="s">
        <v>572</v>
      </c>
      <c r="D36" s="156">
        <v>1</v>
      </c>
      <c r="E36" s="156">
        <v>1</v>
      </c>
      <c r="F36" s="156">
        <v>1</v>
      </c>
      <c r="G36" s="156">
        <v>0.5</v>
      </c>
      <c r="H36" s="156">
        <v>0.5</v>
      </c>
      <c r="I36" s="156"/>
      <c r="J36" s="263">
        <v>4</v>
      </c>
      <c r="K36" s="264"/>
      <c r="L36" s="156"/>
      <c r="M36" s="156"/>
      <c r="N36" s="265"/>
      <c r="O36" s="265"/>
      <c r="P36" s="265"/>
      <c r="Q36" s="265"/>
      <c r="R36" s="266">
        <v>4</v>
      </c>
      <c r="S36" s="267">
        <v>46176</v>
      </c>
      <c r="T36" s="268">
        <v>5</v>
      </c>
      <c r="U36" s="265">
        <v>0</v>
      </c>
      <c r="V36" s="264"/>
      <c r="W36" s="263"/>
      <c r="X36" s="266"/>
      <c r="Y36" s="266"/>
      <c r="Z36" s="266">
        <v>192</v>
      </c>
      <c r="AA36" s="266">
        <v>100</v>
      </c>
      <c r="AB36" s="266">
        <v>2.083333333333333</v>
      </c>
      <c r="AC36" s="250"/>
      <c r="AD36" s="267"/>
      <c r="AE36" s="267">
        <v>46176</v>
      </c>
      <c r="AF36" s="264"/>
      <c r="AG36" s="267"/>
      <c r="AH36" s="266"/>
      <c r="AI36" s="265"/>
      <c r="AJ36" s="263">
        <v>5</v>
      </c>
      <c r="AK36" s="266">
        <v>4</v>
      </c>
      <c r="AL36" s="266">
        <v>4</v>
      </c>
      <c r="AM36" s="251"/>
    </row>
    <row r="37" spans="1:39" x14ac:dyDescent="0.3">
      <c r="A37" s="156" t="s">
        <v>493</v>
      </c>
      <c r="B37" s="156" t="s">
        <v>544</v>
      </c>
      <c r="C37" s="156" t="s">
        <v>692</v>
      </c>
      <c r="D37" s="156">
        <v>1.5</v>
      </c>
      <c r="E37" s="156">
        <v>0.75</v>
      </c>
      <c r="F37" s="156">
        <v>1.25</v>
      </c>
      <c r="G37" s="156">
        <v>1</v>
      </c>
      <c r="H37" s="156">
        <v>0.75</v>
      </c>
      <c r="I37" s="156"/>
      <c r="J37" s="263"/>
      <c r="K37" s="264"/>
      <c r="L37" s="156"/>
      <c r="M37" s="156"/>
      <c r="N37" s="265"/>
      <c r="O37" s="265"/>
      <c r="P37" s="265"/>
      <c r="Q37" s="265"/>
      <c r="R37" s="266"/>
      <c r="S37" s="267"/>
      <c r="T37" s="268"/>
      <c r="U37" s="265"/>
      <c r="V37" s="264"/>
      <c r="W37" s="263"/>
      <c r="X37" s="266"/>
      <c r="Y37" s="266"/>
      <c r="Z37" s="266"/>
      <c r="AA37" s="266"/>
      <c r="AB37" s="266"/>
      <c r="AC37" s="250"/>
      <c r="AD37" s="267"/>
      <c r="AE37" s="267"/>
      <c r="AF37" s="264"/>
      <c r="AG37" s="267"/>
      <c r="AH37" s="266"/>
      <c r="AI37" s="265"/>
      <c r="AJ37" s="263"/>
      <c r="AK37" s="266"/>
      <c r="AL37" s="266"/>
      <c r="AM37" s="251"/>
    </row>
    <row r="38" spans="1:39" x14ac:dyDescent="0.3">
      <c r="A38" s="156" t="s">
        <v>493</v>
      </c>
      <c r="B38" s="156" t="s">
        <v>544</v>
      </c>
      <c r="C38" s="156" t="s">
        <v>693</v>
      </c>
      <c r="D38" s="156">
        <v>1.5</v>
      </c>
      <c r="E38" s="156">
        <v>0.75</v>
      </c>
      <c r="F38" s="156">
        <v>1.25</v>
      </c>
      <c r="G38" s="156">
        <v>1</v>
      </c>
      <c r="H38" s="156">
        <v>0.75</v>
      </c>
      <c r="I38" s="156"/>
      <c r="J38" s="263"/>
      <c r="K38" s="264"/>
      <c r="L38" s="156"/>
      <c r="M38" s="156"/>
      <c r="N38" s="265"/>
      <c r="O38" s="265"/>
      <c r="P38" s="265"/>
      <c r="Q38" s="265"/>
      <c r="R38" s="266"/>
      <c r="S38" s="267"/>
      <c r="T38" s="268"/>
      <c r="U38" s="265"/>
      <c r="V38" s="264"/>
      <c r="W38" s="263"/>
      <c r="X38" s="266"/>
      <c r="Y38" s="266"/>
      <c r="Z38" s="266"/>
      <c r="AA38" s="266"/>
      <c r="AB38" s="266"/>
      <c r="AC38" s="250"/>
      <c r="AD38" s="267"/>
      <c r="AE38" s="267"/>
      <c r="AF38" s="264"/>
      <c r="AG38" s="267"/>
      <c r="AH38" s="266"/>
      <c r="AI38" s="265"/>
      <c r="AJ38" s="263"/>
      <c r="AK38" s="266"/>
      <c r="AL38" s="266"/>
      <c r="AM38" s="251"/>
    </row>
    <row r="39" spans="1:39" x14ac:dyDescent="0.3">
      <c r="A39" s="156" t="s">
        <v>493</v>
      </c>
      <c r="B39" s="156" t="s">
        <v>544</v>
      </c>
      <c r="C39" s="156" t="s">
        <v>694</v>
      </c>
      <c r="D39" s="156">
        <v>1.5</v>
      </c>
      <c r="E39" s="156">
        <v>0.75</v>
      </c>
      <c r="F39" s="156">
        <v>1.25</v>
      </c>
      <c r="G39" s="156">
        <v>1</v>
      </c>
      <c r="H39" s="156">
        <v>0.75</v>
      </c>
      <c r="I39" s="156"/>
      <c r="J39" s="263"/>
      <c r="K39" s="156"/>
      <c r="L39" s="156"/>
      <c r="M39" s="156"/>
      <c r="N39" s="265"/>
      <c r="O39" s="265"/>
      <c r="P39" s="265"/>
      <c r="Q39" s="265"/>
      <c r="R39" s="266"/>
      <c r="S39" s="267"/>
      <c r="T39" s="268"/>
      <c r="U39" s="265"/>
      <c r="V39" s="264"/>
      <c r="W39" s="263"/>
      <c r="X39" s="266"/>
      <c r="Y39" s="266"/>
      <c r="Z39" s="266"/>
      <c r="AA39" s="266"/>
      <c r="AB39" s="266"/>
      <c r="AC39" s="250"/>
      <c r="AD39" s="267"/>
      <c r="AE39" s="267"/>
      <c r="AF39" s="264"/>
      <c r="AG39" s="267"/>
      <c r="AH39" s="266"/>
      <c r="AI39" s="265"/>
      <c r="AJ39" s="263"/>
      <c r="AK39" s="266"/>
      <c r="AL39" s="266"/>
      <c r="AM39" s="251"/>
    </row>
    <row r="40" spans="1:39" x14ac:dyDescent="0.3">
      <c r="A40" s="156" t="s">
        <v>493</v>
      </c>
      <c r="B40" s="156" t="s">
        <v>544</v>
      </c>
      <c r="C40" s="156" t="s">
        <v>695</v>
      </c>
      <c r="D40" s="156">
        <v>1.5</v>
      </c>
      <c r="E40" s="156">
        <v>0.75</v>
      </c>
      <c r="F40" s="156">
        <v>1.25</v>
      </c>
      <c r="G40" s="156">
        <v>1</v>
      </c>
      <c r="H40" s="156">
        <v>0.75</v>
      </c>
      <c r="I40" s="156"/>
      <c r="J40" s="263"/>
      <c r="K40" s="264"/>
      <c r="L40" s="156"/>
      <c r="M40" s="156"/>
      <c r="N40" s="265"/>
      <c r="O40" s="265"/>
      <c r="P40" s="265"/>
      <c r="Q40" s="265"/>
      <c r="R40" s="266"/>
      <c r="S40" s="267"/>
      <c r="T40" s="268"/>
      <c r="U40" s="265"/>
      <c r="V40" s="264"/>
      <c r="W40" s="263"/>
      <c r="X40" s="266"/>
      <c r="Y40" s="266"/>
      <c r="Z40" s="266"/>
      <c r="AA40" s="266"/>
      <c r="AB40" s="266"/>
      <c r="AC40" s="250"/>
      <c r="AD40" s="267"/>
      <c r="AE40" s="267"/>
      <c r="AF40" s="264"/>
      <c r="AG40" s="267"/>
      <c r="AH40" s="266"/>
      <c r="AI40" s="265"/>
      <c r="AJ40" s="263"/>
      <c r="AK40" s="266"/>
      <c r="AL40" s="266"/>
      <c r="AM40" s="251"/>
    </row>
    <row r="41" spans="1:39" x14ac:dyDescent="0.3">
      <c r="A41" s="156" t="s">
        <v>493</v>
      </c>
      <c r="B41" s="156" t="s">
        <v>550</v>
      </c>
      <c r="C41" s="156" t="s">
        <v>696</v>
      </c>
      <c r="D41" s="156">
        <v>1.17</v>
      </c>
      <c r="E41" s="156">
        <v>0.83</v>
      </c>
      <c r="F41" s="156">
        <v>1</v>
      </c>
      <c r="G41" s="156">
        <v>0.67</v>
      </c>
      <c r="H41" s="156">
        <v>0.67</v>
      </c>
      <c r="I41" s="156"/>
      <c r="J41" s="263"/>
      <c r="K41" s="156"/>
      <c r="L41" s="156"/>
      <c r="M41" s="156"/>
      <c r="N41" s="265"/>
      <c r="O41" s="265"/>
      <c r="P41" s="265"/>
      <c r="Q41" s="265"/>
      <c r="R41" s="266"/>
      <c r="S41" s="267"/>
      <c r="T41" s="268"/>
      <c r="U41" s="265"/>
      <c r="V41" s="264"/>
      <c r="W41" s="263"/>
      <c r="X41" s="266"/>
      <c r="Y41" s="266"/>
      <c r="Z41" s="266"/>
      <c r="AA41" s="266"/>
      <c r="AB41" s="266"/>
      <c r="AC41" s="250"/>
      <c r="AD41" s="267"/>
      <c r="AE41" s="267"/>
      <c r="AF41" s="264"/>
      <c r="AG41" s="267"/>
      <c r="AH41" s="266"/>
      <c r="AI41" s="265"/>
      <c r="AJ41" s="263"/>
      <c r="AK41" s="266"/>
      <c r="AL41" s="266"/>
      <c r="AM41" s="251"/>
    </row>
    <row r="42" spans="1:39" x14ac:dyDescent="0.3">
      <c r="A42" s="156" t="s">
        <v>493</v>
      </c>
      <c r="B42" s="156" t="s">
        <v>550</v>
      </c>
      <c r="C42" s="156" t="s">
        <v>697</v>
      </c>
      <c r="D42" s="156">
        <v>1.17</v>
      </c>
      <c r="E42" s="156">
        <v>0.83</v>
      </c>
      <c r="F42" s="156">
        <v>1</v>
      </c>
      <c r="G42" s="156">
        <v>0.67</v>
      </c>
      <c r="H42" s="156">
        <v>0.67</v>
      </c>
      <c r="I42" s="156"/>
      <c r="J42" s="263"/>
      <c r="K42" s="264"/>
      <c r="L42" s="156"/>
      <c r="M42" s="156"/>
      <c r="N42" s="265"/>
      <c r="O42" s="265"/>
      <c r="P42" s="265"/>
      <c r="Q42" s="265"/>
      <c r="R42" s="266"/>
      <c r="S42" s="267"/>
      <c r="T42" s="268"/>
      <c r="U42" s="265"/>
      <c r="V42" s="264"/>
      <c r="W42" s="263"/>
      <c r="X42" s="266"/>
      <c r="Y42" s="266"/>
      <c r="Z42" s="266"/>
      <c r="AA42" s="266"/>
      <c r="AB42" s="266"/>
      <c r="AC42" s="250"/>
      <c r="AD42" s="267"/>
      <c r="AE42" s="267"/>
      <c r="AF42" s="264"/>
      <c r="AG42" s="267"/>
      <c r="AH42" s="266"/>
      <c r="AI42" s="265"/>
      <c r="AJ42" s="263"/>
      <c r="AK42" s="266"/>
      <c r="AL42" s="266"/>
      <c r="AM42" s="251"/>
    </row>
    <row r="43" spans="1:39" x14ac:dyDescent="0.3">
      <c r="A43" s="156" t="s">
        <v>493</v>
      </c>
      <c r="B43" s="156" t="s">
        <v>550</v>
      </c>
      <c r="C43" s="156" t="s">
        <v>698</v>
      </c>
      <c r="D43" s="156">
        <v>1.17</v>
      </c>
      <c r="E43" s="156">
        <v>0.83</v>
      </c>
      <c r="F43" s="156">
        <v>1</v>
      </c>
      <c r="G43" s="156">
        <v>0.67</v>
      </c>
      <c r="H43" s="156">
        <v>0.67</v>
      </c>
      <c r="I43" s="156"/>
      <c r="J43" s="263"/>
      <c r="K43" s="264"/>
      <c r="L43" s="156"/>
      <c r="M43" s="156"/>
      <c r="N43" s="265"/>
      <c r="O43" s="265"/>
      <c r="P43" s="265"/>
      <c r="Q43" s="265"/>
      <c r="R43" s="266"/>
      <c r="S43" s="267"/>
      <c r="T43" s="268"/>
      <c r="U43" s="265"/>
      <c r="V43" s="264"/>
      <c r="W43" s="263"/>
      <c r="X43" s="266"/>
      <c r="Y43" s="266"/>
      <c r="Z43" s="266"/>
      <c r="AA43" s="266"/>
      <c r="AB43" s="266"/>
      <c r="AC43" s="250"/>
      <c r="AD43" s="267"/>
      <c r="AE43" s="267"/>
      <c r="AF43" s="264"/>
      <c r="AG43" s="267"/>
      <c r="AH43" s="266"/>
      <c r="AI43" s="265"/>
      <c r="AJ43" s="263"/>
      <c r="AK43" s="266"/>
      <c r="AL43" s="266"/>
      <c r="AM43" s="251"/>
    </row>
    <row r="44" spans="1:39" x14ac:dyDescent="0.3">
      <c r="A44" s="156" t="s">
        <v>493</v>
      </c>
      <c r="B44" s="156" t="s">
        <v>550</v>
      </c>
      <c r="C44" s="156" t="s">
        <v>699</v>
      </c>
      <c r="D44" s="156">
        <v>1.17</v>
      </c>
      <c r="E44" s="156">
        <v>0.83</v>
      </c>
      <c r="F44" s="156">
        <v>1</v>
      </c>
      <c r="G44" s="156">
        <v>0.67</v>
      </c>
      <c r="H44" s="156">
        <v>0.67</v>
      </c>
      <c r="I44" s="156"/>
      <c r="J44" s="263"/>
      <c r="K44" s="264"/>
      <c r="L44" s="156"/>
      <c r="M44" s="156"/>
      <c r="N44" s="265"/>
      <c r="O44" s="265"/>
      <c r="P44" s="265"/>
      <c r="Q44" s="265"/>
      <c r="R44" s="266"/>
      <c r="S44" s="267"/>
      <c r="T44" s="268"/>
      <c r="U44" s="265"/>
      <c r="V44" s="264"/>
      <c r="W44" s="263"/>
      <c r="X44" s="266"/>
      <c r="Y44" s="266"/>
      <c r="Z44" s="266"/>
      <c r="AA44" s="266"/>
      <c r="AB44" s="266"/>
      <c r="AC44" s="250"/>
      <c r="AD44" s="267"/>
      <c r="AE44" s="267"/>
      <c r="AF44" s="264"/>
      <c r="AG44" s="267"/>
      <c r="AH44" s="266"/>
      <c r="AI44" s="265"/>
      <c r="AJ44" s="263"/>
      <c r="AK44" s="266"/>
      <c r="AL44" s="266"/>
      <c r="AM44" s="251"/>
    </row>
    <row r="45" spans="1:39" x14ac:dyDescent="0.3">
      <c r="A45" s="156" t="s">
        <v>493</v>
      </c>
      <c r="B45" s="156" t="s">
        <v>550</v>
      </c>
      <c r="C45" s="156" t="s">
        <v>700</v>
      </c>
      <c r="D45" s="156">
        <v>1.17</v>
      </c>
      <c r="E45" s="156">
        <v>0.83</v>
      </c>
      <c r="F45" s="156">
        <v>1</v>
      </c>
      <c r="G45" s="156">
        <v>0.67</v>
      </c>
      <c r="H45" s="156">
        <v>0.67</v>
      </c>
      <c r="I45" s="156"/>
      <c r="J45" s="263"/>
      <c r="K45" s="156"/>
      <c r="L45" s="156"/>
      <c r="M45" s="156"/>
      <c r="N45" s="265"/>
      <c r="O45" s="265"/>
      <c r="P45" s="265"/>
      <c r="Q45" s="265"/>
      <c r="R45" s="266"/>
      <c r="S45" s="267"/>
      <c r="T45" s="268"/>
      <c r="U45" s="265"/>
      <c r="V45" s="264"/>
      <c r="W45" s="263"/>
      <c r="X45" s="266"/>
      <c r="Y45" s="266"/>
      <c r="Z45" s="266"/>
      <c r="AA45" s="266"/>
      <c r="AB45" s="266"/>
      <c r="AC45" s="250"/>
      <c r="AD45" s="267"/>
      <c r="AE45" s="267"/>
      <c r="AF45" s="264"/>
      <c r="AG45" s="267"/>
      <c r="AH45" s="266"/>
      <c r="AI45" s="265"/>
      <c r="AJ45" s="263"/>
      <c r="AK45" s="266"/>
      <c r="AL45" s="266"/>
      <c r="AM45" s="251"/>
    </row>
    <row r="46" spans="1:39" x14ac:dyDescent="0.3">
      <c r="A46" s="156" t="s">
        <v>493</v>
      </c>
      <c r="B46" s="156" t="s">
        <v>550</v>
      </c>
      <c r="C46" s="156" t="s">
        <v>701</v>
      </c>
      <c r="D46" s="156">
        <v>1.17</v>
      </c>
      <c r="E46" s="156">
        <v>0.83</v>
      </c>
      <c r="F46" s="156">
        <v>1</v>
      </c>
      <c r="G46" s="156">
        <v>0.67</v>
      </c>
      <c r="H46" s="156">
        <v>0.67</v>
      </c>
      <c r="I46" s="156"/>
      <c r="J46" s="263"/>
      <c r="K46" s="156"/>
      <c r="L46" s="156"/>
      <c r="M46" s="156"/>
      <c r="N46" s="265"/>
      <c r="O46" s="265"/>
      <c r="P46" s="265"/>
      <c r="Q46" s="265"/>
      <c r="R46" s="266"/>
      <c r="S46" s="267"/>
      <c r="T46" s="268"/>
      <c r="U46" s="265"/>
      <c r="V46" s="264"/>
      <c r="W46" s="263"/>
      <c r="X46" s="266"/>
      <c r="Y46" s="266"/>
      <c r="Z46" s="266"/>
      <c r="AA46" s="266"/>
      <c r="AB46" s="266"/>
      <c r="AC46" s="250"/>
      <c r="AD46" s="267"/>
      <c r="AE46" s="267"/>
      <c r="AF46" s="264"/>
      <c r="AG46" s="267"/>
      <c r="AH46" s="266"/>
      <c r="AI46" s="265"/>
      <c r="AJ46" s="263"/>
      <c r="AK46" s="266"/>
      <c r="AL46" s="266"/>
      <c r="AM46" s="251"/>
    </row>
    <row r="47" spans="1:39" x14ac:dyDescent="0.3">
      <c r="A47" s="156" t="s">
        <v>493</v>
      </c>
      <c r="B47" s="156" t="s">
        <v>557</v>
      </c>
      <c r="C47" s="156" t="s">
        <v>702</v>
      </c>
      <c r="D47" s="156">
        <v>1.33</v>
      </c>
      <c r="E47" s="156">
        <v>2.33</v>
      </c>
      <c r="F47" s="156">
        <v>1.67</v>
      </c>
      <c r="G47" s="156">
        <v>1</v>
      </c>
      <c r="H47" s="156">
        <v>2</v>
      </c>
      <c r="I47" s="156"/>
      <c r="J47" s="263"/>
      <c r="K47" s="156"/>
      <c r="L47" s="156"/>
      <c r="M47" s="156"/>
      <c r="N47" s="265"/>
      <c r="O47" s="265"/>
      <c r="P47" s="265"/>
      <c r="Q47" s="265"/>
      <c r="R47" s="266"/>
      <c r="S47" s="267"/>
      <c r="T47" s="268"/>
      <c r="U47" s="265"/>
      <c r="V47" s="264"/>
      <c r="W47" s="263"/>
      <c r="X47" s="266"/>
      <c r="Y47" s="266"/>
      <c r="Z47" s="266"/>
      <c r="AA47" s="266"/>
      <c r="AB47" s="266"/>
      <c r="AC47" s="250"/>
      <c r="AD47" s="267"/>
      <c r="AE47" s="267"/>
      <c r="AF47" s="264"/>
      <c r="AG47" s="267"/>
      <c r="AH47" s="266"/>
      <c r="AI47" s="265"/>
      <c r="AJ47" s="263"/>
      <c r="AK47" s="266"/>
      <c r="AL47" s="266"/>
      <c r="AM47" s="251"/>
    </row>
    <row r="48" spans="1:39" x14ac:dyDescent="0.3">
      <c r="A48" s="156" t="s">
        <v>493</v>
      </c>
      <c r="B48" s="156" t="s">
        <v>557</v>
      </c>
      <c r="C48" s="156" t="s">
        <v>703</v>
      </c>
      <c r="D48" s="156">
        <v>1.33</v>
      </c>
      <c r="E48" s="156">
        <v>2.33</v>
      </c>
      <c r="F48" s="156">
        <v>1.67</v>
      </c>
      <c r="G48" s="156">
        <v>1</v>
      </c>
      <c r="H48" s="156">
        <v>2</v>
      </c>
      <c r="I48" s="156"/>
      <c r="J48" s="263"/>
      <c r="K48" s="156"/>
      <c r="L48" s="156"/>
      <c r="M48" s="156"/>
      <c r="N48" s="265"/>
      <c r="O48" s="265"/>
      <c r="P48" s="265"/>
      <c r="Q48" s="265"/>
      <c r="R48" s="266"/>
      <c r="S48" s="267"/>
      <c r="T48" s="268"/>
      <c r="U48" s="265"/>
      <c r="V48" s="264"/>
      <c r="W48" s="263"/>
      <c r="X48" s="266"/>
      <c r="Y48" s="266"/>
      <c r="Z48" s="266"/>
      <c r="AA48" s="266"/>
      <c r="AB48" s="266"/>
      <c r="AC48" s="250"/>
      <c r="AD48" s="267"/>
      <c r="AE48" s="267"/>
      <c r="AF48" s="264"/>
      <c r="AG48" s="267"/>
      <c r="AH48" s="266"/>
      <c r="AI48" s="265"/>
      <c r="AJ48" s="263"/>
      <c r="AK48" s="266"/>
      <c r="AL48" s="266"/>
      <c r="AM48" s="251"/>
    </row>
    <row r="49" spans="1:39" x14ac:dyDescent="0.3">
      <c r="A49" s="156" t="s">
        <v>493</v>
      </c>
      <c r="B49" s="156" t="s">
        <v>557</v>
      </c>
      <c r="C49" s="156" t="s">
        <v>704</v>
      </c>
      <c r="D49" s="156">
        <v>1.33</v>
      </c>
      <c r="E49" s="156">
        <v>2.33</v>
      </c>
      <c r="F49" s="156">
        <v>1.67</v>
      </c>
      <c r="G49" s="156">
        <v>1</v>
      </c>
      <c r="H49" s="156">
        <v>2</v>
      </c>
      <c r="I49" s="156"/>
      <c r="J49" s="263"/>
      <c r="K49" s="264"/>
      <c r="L49" s="156"/>
      <c r="M49" s="156"/>
      <c r="N49" s="265"/>
      <c r="O49" s="265"/>
      <c r="P49" s="265"/>
      <c r="Q49" s="265"/>
      <c r="R49" s="266"/>
      <c r="S49" s="267"/>
      <c r="T49" s="268"/>
      <c r="U49" s="265"/>
      <c r="V49" s="264"/>
      <c r="W49" s="263"/>
      <c r="X49" s="266"/>
      <c r="Y49" s="266"/>
      <c r="Z49" s="266"/>
      <c r="AA49" s="266"/>
      <c r="AB49" s="266"/>
      <c r="AC49" s="250"/>
      <c r="AD49" s="267"/>
      <c r="AE49" s="267"/>
      <c r="AF49" s="264"/>
      <c r="AG49" s="267"/>
      <c r="AH49" s="266"/>
      <c r="AI49" s="265"/>
      <c r="AJ49" s="263"/>
      <c r="AK49" s="266"/>
      <c r="AL49" s="266"/>
      <c r="AM49" s="251"/>
    </row>
    <row r="50" spans="1:39" x14ac:dyDescent="0.3">
      <c r="A50" s="156" t="s">
        <v>493</v>
      </c>
      <c r="B50" s="156" t="s">
        <v>557</v>
      </c>
      <c r="C50" s="156" t="s">
        <v>705</v>
      </c>
      <c r="D50" s="156">
        <v>1.33</v>
      </c>
      <c r="E50" s="156">
        <v>2.33</v>
      </c>
      <c r="F50" s="156">
        <v>1.67</v>
      </c>
      <c r="G50" s="156">
        <v>1</v>
      </c>
      <c r="H50" s="156">
        <v>2</v>
      </c>
      <c r="I50" s="156"/>
      <c r="J50" s="263"/>
      <c r="K50" s="264"/>
      <c r="L50" s="156"/>
      <c r="M50" s="156"/>
      <c r="N50" s="265"/>
      <c r="O50" s="265"/>
      <c r="P50" s="265"/>
      <c r="Q50" s="265"/>
      <c r="R50" s="266"/>
      <c r="S50" s="267"/>
      <c r="T50" s="268"/>
      <c r="U50" s="265"/>
      <c r="V50" s="264"/>
      <c r="W50" s="263"/>
      <c r="X50" s="266"/>
      <c r="Y50" s="266"/>
      <c r="Z50" s="266"/>
      <c r="AA50" s="266"/>
      <c r="AB50" s="266"/>
      <c r="AC50" s="250"/>
      <c r="AD50" s="267"/>
      <c r="AE50" s="267"/>
      <c r="AF50" s="264"/>
      <c r="AG50" s="267"/>
      <c r="AH50" s="266"/>
      <c r="AI50" s="265"/>
      <c r="AJ50" s="263"/>
      <c r="AK50" s="266"/>
      <c r="AL50" s="266"/>
      <c r="AM50" s="251"/>
    </row>
    <row r="51" spans="1:39" x14ac:dyDescent="0.3">
      <c r="A51" s="156" t="s">
        <v>493</v>
      </c>
      <c r="B51" s="156" t="s">
        <v>557</v>
      </c>
      <c r="C51" s="156" t="s">
        <v>706</v>
      </c>
      <c r="D51" s="156">
        <v>1.33</v>
      </c>
      <c r="E51" s="156">
        <v>2.33</v>
      </c>
      <c r="F51" s="156">
        <v>1.67</v>
      </c>
      <c r="G51" s="156">
        <v>1</v>
      </c>
      <c r="H51" s="156">
        <v>2</v>
      </c>
      <c r="I51" s="156"/>
      <c r="J51" s="263"/>
      <c r="K51" s="156"/>
      <c r="L51" s="156"/>
      <c r="M51" s="156"/>
      <c r="N51" s="265"/>
      <c r="O51" s="265"/>
      <c r="P51" s="265"/>
      <c r="Q51" s="265"/>
      <c r="R51" s="266"/>
      <c r="S51" s="267"/>
      <c r="T51" s="268"/>
      <c r="U51" s="265"/>
      <c r="V51" s="264"/>
      <c r="W51" s="263"/>
      <c r="X51" s="266"/>
      <c r="Y51" s="266"/>
      <c r="Z51" s="266"/>
      <c r="AA51" s="266"/>
      <c r="AB51" s="266"/>
      <c r="AC51" s="250"/>
      <c r="AD51" s="267"/>
      <c r="AE51" s="267"/>
      <c r="AF51" s="264"/>
      <c r="AG51" s="267"/>
      <c r="AH51" s="266"/>
      <c r="AI51" s="265"/>
      <c r="AJ51" s="263"/>
      <c r="AK51" s="266"/>
      <c r="AL51" s="266"/>
      <c r="AM51" s="251"/>
    </row>
    <row r="52" spans="1:39" x14ac:dyDescent="0.3">
      <c r="A52" s="156" t="s">
        <v>493</v>
      </c>
      <c r="B52" s="156" t="s">
        <v>557</v>
      </c>
      <c r="C52" s="156" t="s">
        <v>707</v>
      </c>
      <c r="D52" s="156">
        <v>1.33</v>
      </c>
      <c r="E52" s="156">
        <v>2.33</v>
      </c>
      <c r="F52" s="156">
        <v>1.67</v>
      </c>
      <c r="G52" s="156">
        <v>1</v>
      </c>
      <c r="H52" s="156">
        <v>2</v>
      </c>
      <c r="I52" s="156"/>
      <c r="J52" s="263"/>
      <c r="K52" s="264"/>
      <c r="L52" s="156"/>
      <c r="M52" s="156"/>
      <c r="N52" s="265"/>
      <c r="O52" s="265"/>
      <c r="P52" s="265"/>
      <c r="Q52" s="265"/>
      <c r="R52" s="266"/>
      <c r="S52" s="267"/>
      <c r="T52" s="268"/>
      <c r="U52" s="265"/>
      <c r="V52" s="264"/>
      <c r="W52" s="263"/>
      <c r="X52" s="266"/>
      <c r="Y52" s="266"/>
      <c r="Z52" s="266"/>
      <c r="AA52" s="266"/>
      <c r="AB52" s="266"/>
      <c r="AC52" s="250"/>
      <c r="AD52" s="267"/>
      <c r="AE52" s="267"/>
      <c r="AF52" s="264"/>
      <c r="AG52" s="267"/>
      <c r="AH52" s="266"/>
      <c r="AI52" s="265"/>
      <c r="AJ52" s="263"/>
      <c r="AK52" s="266"/>
      <c r="AL52" s="266"/>
      <c r="AM52" s="251"/>
    </row>
    <row r="53" spans="1:39" x14ac:dyDescent="0.3">
      <c r="A53" s="156" t="s">
        <v>493</v>
      </c>
      <c r="B53" s="156" t="s">
        <v>564</v>
      </c>
      <c r="C53" s="156" t="s">
        <v>708</v>
      </c>
      <c r="D53" s="156">
        <v>1</v>
      </c>
      <c r="E53" s="156">
        <v>1.25</v>
      </c>
      <c r="F53" s="156">
        <v>1</v>
      </c>
      <c r="G53" s="156">
        <v>2.5</v>
      </c>
      <c r="H53" s="156">
        <v>1.5</v>
      </c>
      <c r="I53" s="156"/>
      <c r="J53" s="263"/>
      <c r="K53" s="156"/>
      <c r="L53" s="156"/>
      <c r="M53" s="156"/>
      <c r="N53" s="265"/>
      <c r="O53" s="265"/>
      <c r="P53" s="265"/>
      <c r="Q53" s="265"/>
      <c r="R53" s="266"/>
      <c r="S53" s="267"/>
      <c r="T53" s="268"/>
      <c r="U53" s="265"/>
      <c r="V53" s="264"/>
      <c r="W53" s="263"/>
      <c r="X53" s="266"/>
      <c r="Y53" s="266"/>
      <c r="Z53" s="266"/>
      <c r="AA53" s="266"/>
      <c r="AB53" s="266"/>
      <c r="AC53" s="250"/>
      <c r="AD53" s="267"/>
      <c r="AE53" s="267"/>
      <c r="AF53" s="264"/>
      <c r="AG53" s="267"/>
      <c r="AH53" s="266"/>
      <c r="AI53" s="265"/>
      <c r="AJ53" s="263"/>
      <c r="AK53" s="266"/>
      <c r="AL53" s="266"/>
      <c r="AM53" s="251"/>
    </row>
    <row r="54" spans="1:39" x14ac:dyDescent="0.3">
      <c r="A54" s="156" t="s">
        <v>493</v>
      </c>
      <c r="B54" s="156" t="s">
        <v>564</v>
      </c>
      <c r="C54" s="156" t="s">
        <v>709</v>
      </c>
      <c r="D54" s="156">
        <v>1</v>
      </c>
      <c r="E54" s="156">
        <v>1.25</v>
      </c>
      <c r="F54" s="156">
        <v>1</v>
      </c>
      <c r="G54" s="156">
        <v>2.5</v>
      </c>
      <c r="H54" s="156">
        <v>1.5</v>
      </c>
      <c r="I54" s="156"/>
      <c r="J54" s="263"/>
      <c r="K54" s="156"/>
      <c r="L54" s="156"/>
      <c r="M54" s="156"/>
      <c r="N54" s="265"/>
      <c r="O54" s="265"/>
      <c r="P54" s="265"/>
      <c r="Q54" s="265"/>
      <c r="R54" s="266"/>
      <c r="S54" s="267"/>
      <c r="T54" s="268"/>
      <c r="U54" s="265"/>
      <c r="V54" s="264"/>
      <c r="W54" s="263"/>
      <c r="X54" s="266"/>
      <c r="Y54" s="266"/>
      <c r="Z54" s="266"/>
      <c r="AA54" s="266"/>
      <c r="AB54" s="266"/>
      <c r="AC54" s="250"/>
      <c r="AD54" s="267"/>
      <c r="AE54" s="267"/>
      <c r="AF54" s="264"/>
      <c r="AG54" s="267"/>
      <c r="AH54" s="266"/>
      <c r="AI54" s="265"/>
      <c r="AJ54" s="263"/>
      <c r="AK54" s="266"/>
      <c r="AL54" s="266"/>
      <c r="AM54" s="251"/>
    </row>
    <row r="55" spans="1:39" x14ac:dyDescent="0.3">
      <c r="A55" s="156" t="s">
        <v>493</v>
      </c>
      <c r="B55" s="156" t="s">
        <v>564</v>
      </c>
      <c r="C55" s="156" t="s">
        <v>710</v>
      </c>
      <c r="D55" s="156">
        <v>1</v>
      </c>
      <c r="E55" s="156">
        <v>1.25</v>
      </c>
      <c r="F55" s="156">
        <v>1</v>
      </c>
      <c r="G55" s="156">
        <v>2.5</v>
      </c>
      <c r="H55" s="156">
        <v>1.5</v>
      </c>
      <c r="I55" s="156"/>
      <c r="J55" s="263"/>
      <c r="K55" s="264"/>
      <c r="L55" s="156"/>
      <c r="M55" s="156"/>
      <c r="N55" s="265"/>
      <c r="O55" s="265"/>
      <c r="P55" s="265"/>
      <c r="Q55" s="265"/>
      <c r="R55" s="266"/>
      <c r="S55" s="267"/>
      <c r="T55" s="268"/>
      <c r="U55" s="265"/>
      <c r="V55" s="264"/>
      <c r="W55" s="263"/>
      <c r="X55" s="266"/>
      <c r="Y55" s="266"/>
      <c r="Z55" s="266"/>
      <c r="AA55" s="266"/>
      <c r="AB55" s="266"/>
      <c r="AC55" s="250"/>
      <c r="AD55" s="267"/>
      <c r="AE55" s="267"/>
      <c r="AF55" s="264"/>
      <c r="AG55" s="267"/>
      <c r="AH55" s="266"/>
      <c r="AI55" s="265"/>
      <c r="AJ55" s="263"/>
      <c r="AK55" s="266"/>
      <c r="AL55" s="266"/>
      <c r="AM55" s="251"/>
    </row>
    <row r="56" spans="1:39" x14ac:dyDescent="0.3">
      <c r="A56" s="156" t="s">
        <v>493</v>
      </c>
      <c r="B56" s="156" t="s">
        <v>564</v>
      </c>
      <c r="C56" s="156" t="s">
        <v>711</v>
      </c>
      <c r="D56" s="156">
        <v>1</v>
      </c>
      <c r="E56" s="156">
        <v>1.25</v>
      </c>
      <c r="F56" s="156">
        <v>1</v>
      </c>
      <c r="G56" s="156">
        <v>2.5</v>
      </c>
      <c r="H56" s="156">
        <v>1.5</v>
      </c>
      <c r="I56" s="156"/>
      <c r="J56" s="263"/>
      <c r="K56" s="264"/>
      <c r="L56" s="156"/>
      <c r="M56" s="156"/>
      <c r="N56" s="265"/>
      <c r="O56" s="265"/>
      <c r="P56" s="265"/>
      <c r="Q56" s="265"/>
      <c r="R56" s="266"/>
      <c r="S56" s="267"/>
      <c r="T56" s="268"/>
      <c r="U56" s="265"/>
      <c r="V56" s="264"/>
      <c r="W56" s="263"/>
      <c r="X56" s="266"/>
      <c r="Y56" s="266"/>
      <c r="Z56" s="266"/>
      <c r="AA56" s="266"/>
      <c r="AB56" s="266"/>
      <c r="AC56" s="250"/>
      <c r="AD56" s="267"/>
      <c r="AE56" s="267"/>
      <c r="AF56" s="264"/>
      <c r="AG56" s="267"/>
      <c r="AH56" s="266"/>
      <c r="AI56" s="265"/>
      <c r="AJ56" s="263"/>
      <c r="AK56" s="266"/>
      <c r="AL56" s="266"/>
      <c r="AM56" s="251"/>
    </row>
    <row r="57" spans="1:39" x14ac:dyDescent="0.3">
      <c r="A57" s="156" t="s">
        <v>493</v>
      </c>
      <c r="B57" s="156"/>
      <c r="C57" s="156"/>
      <c r="D57" s="156"/>
      <c r="E57" s="156"/>
      <c r="F57" s="156"/>
      <c r="G57" s="156"/>
      <c r="H57" s="156"/>
      <c r="I57" s="156"/>
      <c r="J57" s="263"/>
      <c r="K57" s="264"/>
      <c r="L57" s="156"/>
      <c r="M57" s="156"/>
      <c r="N57" s="265"/>
      <c r="O57" s="265"/>
      <c r="P57" s="265"/>
      <c r="Q57" s="265"/>
      <c r="R57" s="266"/>
      <c r="S57" s="267"/>
      <c r="T57" s="268"/>
      <c r="U57" s="265"/>
      <c r="V57" s="264"/>
      <c r="W57" s="263"/>
      <c r="X57" s="266"/>
      <c r="Y57" s="266"/>
      <c r="Z57" s="266"/>
      <c r="AA57" s="266"/>
      <c r="AB57" s="266"/>
      <c r="AC57" s="250"/>
      <c r="AD57" s="267"/>
      <c r="AE57" s="267"/>
      <c r="AF57" s="264"/>
      <c r="AG57" s="267"/>
      <c r="AH57" s="266"/>
      <c r="AI57" s="265"/>
      <c r="AJ57" s="263"/>
      <c r="AK57" s="266"/>
      <c r="AL57" s="266"/>
      <c r="AM57" s="251"/>
    </row>
    <row r="58" spans="1:39" x14ac:dyDescent="0.3">
      <c r="A58" s="156" t="s">
        <v>493</v>
      </c>
      <c r="B58" s="156"/>
      <c r="C58" s="156"/>
      <c r="D58" s="156"/>
      <c r="E58" s="156"/>
      <c r="F58" s="156"/>
      <c r="G58" s="156"/>
      <c r="H58" s="156"/>
      <c r="I58" s="156"/>
      <c r="J58" s="263"/>
      <c r="K58" s="264"/>
      <c r="L58" s="156"/>
      <c r="M58" s="156"/>
      <c r="N58" s="265"/>
      <c r="O58" s="265"/>
      <c r="P58" s="265"/>
      <c r="Q58" s="265"/>
      <c r="R58" s="266"/>
      <c r="S58" s="267"/>
      <c r="T58" s="268"/>
      <c r="U58" s="265"/>
      <c r="V58" s="264"/>
      <c r="W58" s="263"/>
      <c r="X58" s="266"/>
      <c r="Y58" s="266"/>
      <c r="Z58" s="266"/>
      <c r="AA58" s="266"/>
      <c r="AB58" s="266"/>
      <c r="AC58" s="250"/>
      <c r="AD58" s="267"/>
      <c r="AE58" s="267"/>
      <c r="AF58" s="264"/>
      <c r="AG58" s="267"/>
      <c r="AH58" s="266"/>
      <c r="AI58" s="265"/>
      <c r="AJ58" s="263"/>
      <c r="AK58" s="266"/>
      <c r="AL58" s="266"/>
      <c r="AM58" s="251"/>
    </row>
    <row r="59" spans="1:39" x14ac:dyDescent="0.3">
      <c r="A59" s="156" t="s">
        <v>493</v>
      </c>
      <c r="B59" s="156"/>
      <c r="C59" s="156"/>
      <c r="D59" s="156"/>
      <c r="E59" s="156"/>
      <c r="F59" s="156"/>
      <c r="G59" s="156"/>
      <c r="H59" s="156"/>
      <c r="I59" s="156"/>
      <c r="J59" s="263"/>
      <c r="K59" s="264"/>
      <c r="L59" s="156"/>
      <c r="M59" s="156"/>
      <c r="N59" s="265"/>
      <c r="O59" s="265"/>
      <c r="P59" s="265"/>
      <c r="Q59" s="265"/>
      <c r="R59" s="266"/>
      <c r="S59" s="267"/>
      <c r="T59" s="268"/>
      <c r="U59" s="265"/>
      <c r="V59" s="264"/>
      <c r="W59" s="263"/>
      <c r="X59" s="266"/>
      <c r="Y59" s="266"/>
      <c r="Z59" s="266"/>
      <c r="AA59" s="266"/>
      <c r="AB59" s="266"/>
      <c r="AC59" s="250"/>
      <c r="AD59" s="267"/>
      <c r="AE59" s="267"/>
      <c r="AF59" s="264"/>
      <c r="AG59" s="267"/>
      <c r="AH59" s="266"/>
      <c r="AI59" s="265"/>
      <c r="AJ59" s="263"/>
      <c r="AK59" s="266"/>
      <c r="AL59" s="266"/>
      <c r="AM59" s="251"/>
    </row>
    <row r="60" spans="1:39" x14ac:dyDescent="0.3">
      <c r="A60" s="156" t="s">
        <v>493</v>
      </c>
      <c r="B60" s="156"/>
      <c r="C60" s="156"/>
      <c r="D60" s="156"/>
      <c r="E60" s="156"/>
      <c r="F60" s="156"/>
      <c r="G60" s="156"/>
      <c r="H60" s="156"/>
      <c r="I60" s="156"/>
      <c r="J60" s="263"/>
      <c r="K60" s="264"/>
      <c r="L60" s="156"/>
      <c r="M60" s="156"/>
      <c r="N60" s="265"/>
      <c r="O60" s="265"/>
      <c r="P60" s="265"/>
      <c r="Q60" s="265"/>
      <c r="R60" s="266"/>
      <c r="S60" s="267"/>
      <c r="T60" s="268"/>
      <c r="U60" s="265"/>
      <c r="V60" s="264"/>
      <c r="W60" s="263"/>
      <c r="X60" s="266"/>
      <c r="Y60" s="266"/>
      <c r="Z60" s="266"/>
      <c r="AA60" s="266"/>
      <c r="AB60" s="266"/>
      <c r="AC60" s="250"/>
      <c r="AD60" s="267"/>
      <c r="AE60" s="267"/>
      <c r="AF60" s="264"/>
      <c r="AG60" s="267"/>
      <c r="AH60" s="266"/>
      <c r="AI60" s="265"/>
      <c r="AJ60" s="263"/>
      <c r="AK60" s="266"/>
      <c r="AL60" s="266"/>
      <c r="AM60" s="251"/>
    </row>
    <row r="61" spans="1:39" x14ac:dyDescent="0.3">
      <c r="A61" s="156" t="s">
        <v>493</v>
      </c>
      <c r="B61" s="156"/>
      <c r="C61" s="156"/>
      <c r="D61" s="156"/>
      <c r="E61" s="156"/>
      <c r="F61" s="156"/>
      <c r="G61" s="156"/>
      <c r="H61" s="156"/>
      <c r="I61" s="156"/>
      <c r="J61" s="263"/>
      <c r="K61" s="264"/>
      <c r="L61" s="156"/>
      <c r="M61" s="156"/>
      <c r="N61" s="265"/>
      <c r="O61" s="265"/>
      <c r="P61" s="265"/>
      <c r="Q61" s="265"/>
      <c r="R61" s="266"/>
      <c r="S61" s="267"/>
      <c r="T61" s="268"/>
      <c r="U61" s="265"/>
      <c r="V61" s="264"/>
      <c r="W61" s="263"/>
      <c r="X61" s="266"/>
      <c r="Y61" s="266"/>
      <c r="Z61" s="266"/>
      <c r="AA61" s="266"/>
      <c r="AB61" s="266"/>
      <c r="AC61" s="250"/>
      <c r="AD61" s="267"/>
      <c r="AE61" s="267"/>
      <c r="AF61" s="264"/>
      <c r="AG61" s="267"/>
      <c r="AH61" s="266"/>
      <c r="AI61" s="265"/>
      <c r="AJ61" s="263"/>
      <c r="AK61" s="266"/>
      <c r="AL61" s="266"/>
      <c r="AM61" s="251"/>
    </row>
    <row r="62" spans="1:39" x14ac:dyDescent="0.3">
      <c r="A62" s="156" t="s">
        <v>493</v>
      </c>
      <c r="B62" s="156"/>
      <c r="C62" s="156"/>
      <c r="D62" s="156"/>
      <c r="E62" s="156"/>
      <c r="F62" s="156"/>
      <c r="G62" s="156"/>
      <c r="H62" s="156"/>
      <c r="I62" s="156"/>
      <c r="J62" s="263"/>
      <c r="K62" s="264"/>
      <c r="L62" s="156"/>
      <c r="M62" s="156"/>
      <c r="N62" s="265"/>
      <c r="O62" s="265"/>
      <c r="P62" s="265"/>
      <c r="Q62" s="265"/>
      <c r="R62" s="266"/>
      <c r="S62" s="267"/>
      <c r="T62" s="268"/>
      <c r="U62" s="265"/>
      <c r="V62" s="264"/>
      <c r="W62" s="263"/>
      <c r="X62" s="266"/>
      <c r="Y62" s="266"/>
      <c r="Z62" s="266"/>
      <c r="AA62" s="266"/>
      <c r="AB62" s="266"/>
      <c r="AC62" s="250"/>
      <c r="AD62" s="267"/>
      <c r="AE62" s="267"/>
      <c r="AF62" s="264"/>
      <c r="AG62" s="267"/>
      <c r="AH62" s="266"/>
      <c r="AI62" s="265"/>
      <c r="AJ62" s="263"/>
      <c r="AK62" s="266"/>
      <c r="AL62" s="266"/>
      <c r="AM62" s="251"/>
    </row>
    <row r="63" spans="1:39" x14ac:dyDescent="0.3">
      <c r="A63" s="156" t="s">
        <v>493</v>
      </c>
      <c r="B63" s="156"/>
      <c r="C63" s="156"/>
      <c r="D63" s="156"/>
      <c r="E63" s="156"/>
      <c r="F63" s="156"/>
      <c r="G63" s="156"/>
      <c r="H63" s="156"/>
      <c r="I63" s="156"/>
      <c r="J63" s="263"/>
      <c r="K63" s="264"/>
      <c r="L63" s="156"/>
      <c r="M63" s="156"/>
      <c r="N63" s="265"/>
      <c r="O63" s="265"/>
      <c r="P63" s="265"/>
      <c r="Q63" s="265"/>
      <c r="R63" s="266"/>
      <c r="S63" s="267"/>
      <c r="T63" s="268"/>
      <c r="U63" s="265"/>
      <c r="V63" s="264"/>
      <c r="W63" s="263"/>
      <c r="X63" s="266"/>
      <c r="Y63" s="266"/>
      <c r="Z63" s="266"/>
      <c r="AA63" s="266"/>
      <c r="AB63" s="266"/>
      <c r="AC63" s="250"/>
      <c r="AD63" s="267"/>
      <c r="AE63" s="267"/>
      <c r="AF63" s="264"/>
      <c r="AG63" s="267"/>
      <c r="AH63" s="266"/>
      <c r="AI63" s="265"/>
      <c r="AJ63" s="263"/>
      <c r="AK63" s="266"/>
      <c r="AL63" s="266"/>
      <c r="AM63" s="251"/>
    </row>
    <row r="64" spans="1:39" x14ac:dyDescent="0.3">
      <c r="A64" s="156" t="s">
        <v>493</v>
      </c>
      <c r="B64" s="156"/>
      <c r="C64" s="156"/>
      <c r="D64" s="156"/>
      <c r="E64" s="156"/>
      <c r="F64" s="156"/>
      <c r="G64" s="156"/>
      <c r="H64" s="156"/>
      <c r="I64" s="156"/>
      <c r="J64" s="263"/>
      <c r="K64" s="156"/>
      <c r="L64" s="156"/>
      <c r="M64" s="156"/>
      <c r="N64" s="265"/>
      <c r="O64" s="265"/>
      <c r="P64" s="265"/>
      <c r="Q64" s="265"/>
      <c r="R64" s="266"/>
      <c r="S64" s="267"/>
      <c r="T64" s="268"/>
      <c r="U64" s="265"/>
      <c r="V64" s="264"/>
      <c r="W64" s="263"/>
      <c r="X64" s="266"/>
      <c r="Y64" s="266"/>
      <c r="Z64" s="266"/>
      <c r="AA64" s="266"/>
      <c r="AB64" s="266"/>
      <c r="AC64" s="250"/>
      <c r="AD64" s="267"/>
      <c r="AE64" s="267"/>
      <c r="AF64" s="264"/>
      <c r="AG64" s="267"/>
      <c r="AH64" s="266"/>
      <c r="AI64" s="265"/>
      <c r="AJ64" s="263"/>
      <c r="AK64" s="266"/>
      <c r="AL64" s="266"/>
      <c r="AM64" s="251"/>
    </row>
    <row r="65" spans="1:39" x14ac:dyDescent="0.3">
      <c r="A65" s="156" t="s">
        <v>493</v>
      </c>
      <c r="B65" s="156"/>
      <c r="C65" s="156"/>
      <c r="D65" s="156"/>
      <c r="E65" s="156"/>
      <c r="F65" s="156"/>
      <c r="G65" s="156"/>
      <c r="H65" s="156"/>
      <c r="I65" s="156"/>
      <c r="J65" s="263"/>
      <c r="K65" s="156"/>
      <c r="L65" s="156"/>
      <c r="M65" s="156"/>
      <c r="N65" s="265"/>
      <c r="O65" s="265"/>
      <c r="P65" s="265"/>
      <c r="Q65" s="265"/>
      <c r="R65" s="266"/>
      <c r="S65" s="267"/>
      <c r="T65" s="268"/>
      <c r="U65" s="265"/>
      <c r="V65" s="264"/>
      <c r="W65" s="263"/>
      <c r="X65" s="266"/>
      <c r="Y65" s="266"/>
      <c r="Z65" s="266"/>
      <c r="AA65" s="266"/>
      <c r="AB65" s="266"/>
      <c r="AC65" s="250"/>
      <c r="AD65" s="267"/>
      <c r="AE65" s="267"/>
      <c r="AF65" s="264"/>
      <c r="AG65" s="267"/>
      <c r="AH65" s="266"/>
      <c r="AI65" s="265"/>
      <c r="AJ65" s="263"/>
      <c r="AK65" s="266"/>
      <c r="AL65" s="266"/>
      <c r="AM65" s="251"/>
    </row>
    <row r="66" spans="1:39" x14ac:dyDescent="0.3">
      <c r="A66" s="156" t="s">
        <v>493</v>
      </c>
      <c r="B66" s="156"/>
      <c r="C66" s="156"/>
      <c r="D66" s="156"/>
      <c r="E66" s="156"/>
      <c r="F66" s="156"/>
      <c r="G66" s="156"/>
      <c r="H66" s="156"/>
      <c r="I66" s="156"/>
      <c r="J66" s="263"/>
      <c r="K66" s="156"/>
      <c r="L66" s="156"/>
      <c r="M66" s="156"/>
      <c r="N66" s="265"/>
      <c r="O66" s="265"/>
      <c r="P66" s="265"/>
      <c r="Q66" s="265"/>
      <c r="R66" s="266"/>
      <c r="S66" s="267"/>
      <c r="T66" s="268"/>
      <c r="U66" s="265"/>
      <c r="V66" s="264"/>
      <c r="W66" s="263"/>
      <c r="X66" s="266"/>
      <c r="Y66" s="266"/>
      <c r="Z66" s="266"/>
      <c r="AA66" s="266"/>
      <c r="AB66" s="266"/>
      <c r="AC66" s="250"/>
      <c r="AD66" s="267"/>
      <c r="AE66" s="267"/>
      <c r="AF66" s="264"/>
      <c r="AG66" s="267"/>
      <c r="AH66" s="266"/>
      <c r="AI66" s="265"/>
      <c r="AJ66" s="263"/>
      <c r="AK66" s="266"/>
      <c r="AL66" s="266"/>
      <c r="AM66" s="251"/>
    </row>
    <row r="67" spans="1:39" x14ac:dyDescent="0.3">
      <c r="A67" s="156" t="s">
        <v>493</v>
      </c>
      <c r="B67" s="156"/>
      <c r="C67" s="156"/>
      <c r="D67" s="156"/>
      <c r="E67" s="156"/>
      <c r="F67" s="156"/>
      <c r="G67" s="156"/>
      <c r="H67" s="156"/>
      <c r="I67" s="156"/>
      <c r="J67" s="263"/>
      <c r="K67" s="156"/>
      <c r="L67" s="156"/>
      <c r="M67" s="156"/>
      <c r="N67" s="265"/>
      <c r="O67" s="265"/>
      <c r="P67" s="265"/>
      <c r="Q67" s="265"/>
      <c r="R67" s="266"/>
      <c r="S67" s="267"/>
      <c r="T67" s="268"/>
      <c r="U67" s="265"/>
      <c r="V67" s="264"/>
      <c r="W67" s="263"/>
      <c r="X67" s="266"/>
      <c r="Y67" s="266"/>
      <c r="Z67" s="266"/>
      <c r="AA67" s="266"/>
      <c r="AB67" s="266"/>
      <c r="AC67" s="250"/>
      <c r="AD67" s="267"/>
      <c r="AE67" s="267"/>
      <c r="AF67" s="264"/>
      <c r="AG67" s="267"/>
      <c r="AH67" s="266"/>
      <c r="AI67" s="265"/>
      <c r="AJ67" s="263"/>
      <c r="AK67" s="266"/>
      <c r="AL67" s="266"/>
      <c r="AM67" s="251"/>
    </row>
    <row r="68" spans="1:39" x14ac:dyDescent="0.3">
      <c r="A68" s="156" t="s">
        <v>493</v>
      </c>
      <c r="B68" s="156"/>
      <c r="C68" s="156"/>
      <c r="D68" s="156"/>
      <c r="E68" s="156"/>
      <c r="F68" s="156"/>
      <c r="G68" s="156"/>
      <c r="H68" s="156"/>
      <c r="I68" s="156"/>
      <c r="J68" s="263"/>
      <c r="K68" s="156"/>
      <c r="L68" s="156"/>
      <c r="M68" s="156"/>
      <c r="N68" s="265"/>
      <c r="O68" s="265"/>
      <c r="P68" s="265"/>
      <c r="Q68" s="265"/>
      <c r="R68" s="266"/>
      <c r="S68" s="267"/>
      <c r="T68" s="268"/>
      <c r="U68" s="265"/>
      <c r="V68" s="264"/>
      <c r="W68" s="263"/>
      <c r="X68" s="266"/>
      <c r="Y68" s="266"/>
      <c r="Z68" s="266"/>
      <c r="AA68" s="266"/>
      <c r="AB68" s="266"/>
      <c r="AC68" s="250"/>
      <c r="AD68" s="267"/>
      <c r="AE68" s="267"/>
      <c r="AF68" s="264"/>
      <c r="AG68" s="267"/>
      <c r="AH68" s="266"/>
      <c r="AI68" s="265"/>
      <c r="AJ68" s="263"/>
      <c r="AK68" s="266"/>
      <c r="AL68" s="266"/>
      <c r="AM68" s="251"/>
    </row>
    <row r="69" spans="1:39" x14ac:dyDescent="0.3">
      <c r="A69" s="156" t="s">
        <v>493</v>
      </c>
      <c r="B69" s="156"/>
      <c r="C69" s="156"/>
      <c r="D69" s="156"/>
      <c r="E69" s="156"/>
      <c r="F69" s="156"/>
      <c r="G69" s="156"/>
      <c r="H69" s="156"/>
      <c r="I69" s="156"/>
      <c r="J69" s="263"/>
      <c r="K69" s="156"/>
      <c r="L69" s="156"/>
      <c r="M69" s="156"/>
      <c r="N69" s="265"/>
      <c r="O69" s="265"/>
      <c r="P69" s="265"/>
      <c r="Q69" s="265"/>
      <c r="R69" s="266"/>
      <c r="S69" s="267"/>
      <c r="T69" s="268"/>
      <c r="U69" s="265"/>
      <c r="V69" s="264"/>
      <c r="W69" s="263"/>
      <c r="X69" s="266"/>
      <c r="Y69" s="266"/>
      <c r="Z69" s="266"/>
      <c r="AA69" s="266"/>
      <c r="AB69" s="266"/>
      <c r="AC69" s="250"/>
      <c r="AD69" s="267"/>
      <c r="AE69" s="267"/>
      <c r="AF69" s="264"/>
      <c r="AG69" s="267"/>
      <c r="AH69" s="266"/>
      <c r="AI69" s="265"/>
      <c r="AJ69" s="263"/>
      <c r="AK69" s="266"/>
      <c r="AL69" s="266"/>
      <c r="AM69" s="251"/>
    </row>
    <row r="70" spans="1:39" x14ac:dyDescent="0.3">
      <c r="A70" s="156" t="s">
        <v>493</v>
      </c>
      <c r="B70" s="156"/>
      <c r="C70" s="156"/>
      <c r="D70" s="156"/>
      <c r="E70" s="156"/>
      <c r="F70" s="156"/>
      <c r="G70" s="156"/>
      <c r="H70" s="156"/>
      <c r="I70" s="156"/>
      <c r="J70" s="263"/>
      <c r="K70" s="156"/>
      <c r="L70" s="156"/>
      <c r="M70" s="156"/>
      <c r="N70" s="265"/>
      <c r="O70" s="265"/>
      <c r="P70" s="265"/>
      <c r="Q70" s="265"/>
      <c r="R70" s="266"/>
      <c r="S70" s="267"/>
      <c r="T70" s="268"/>
      <c r="U70" s="265"/>
      <c r="V70" s="264"/>
      <c r="W70" s="263"/>
      <c r="X70" s="266"/>
      <c r="Y70" s="266"/>
      <c r="Z70" s="266"/>
      <c r="AA70" s="266"/>
      <c r="AB70" s="266"/>
      <c r="AC70" s="250"/>
      <c r="AD70" s="267"/>
      <c r="AE70" s="267"/>
      <c r="AF70" s="264"/>
      <c r="AG70" s="267"/>
      <c r="AH70" s="266"/>
      <c r="AI70" s="265"/>
      <c r="AJ70" s="263"/>
      <c r="AK70" s="266"/>
      <c r="AL70" s="266"/>
      <c r="AM70" s="251"/>
    </row>
    <row r="71" spans="1:39" x14ac:dyDescent="0.3">
      <c r="A71" s="156" t="s">
        <v>493</v>
      </c>
      <c r="B71" s="156"/>
      <c r="C71" s="156"/>
      <c r="D71" s="156"/>
      <c r="E71" s="156"/>
      <c r="F71" s="156"/>
      <c r="G71" s="156"/>
      <c r="H71" s="156"/>
      <c r="I71" s="156"/>
      <c r="J71" s="263"/>
      <c r="K71" s="156"/>
      <c r="L71" s="156"/>
      <c r="M71" s="156"/>
      <c r="N71" s="265"/>
      <c r="O71" s="265"/>
      <c r="P71" s="265"/>
      <c r="Q71" s="265"/>
      <c r="R71" s="266"/>
      <c r="S71" s="267"/>
      <c r="T71" s="268"/>
      <c r="U71" s="265"/>
      <c r="V71" s="264"/>
      <c r="W71" s="263"/>
      <c r="X71" s="266"/>
      <c r="Y71" s="266"/>
      <c r="Z71" s="266"/>
      <c r="AA71" s="266"/>
      <c r="AB71" s="266"/>
      <c r="AC71" s="250"/>
      <c r="AD71" s="267"/>
      <c r="AE71" s="267"/>
      <c r="AF71" s="264"/>
      <c r="AG71" s="267"/>
      <c r="AH71" s="266"/>
      <c r="AI71" s="265"/>
      <c r="AJ71" s="263"/>
      <c r="AK71" s="266"/>
      <c r="AL71" s="266"/>
      <c r="AM71" s="251"/>
    </row>
    <row r="72" spans="1:39" x14ac:dyDescent="0.3">
      <c r="A72" s="156" t="s">
        <v>493</v>
      </c>
      <c r="B72" s="156"/>
      <c r="C72" s="156"/>
      <c r="D72" s="156"/>
      <c r="E72" s="156"/>
      <c r="F72" s="156"/>
      <c r="G72" s="156"/>
      <c r="H72" s="156"/>
      <c r="I72" s="156"/>
      <c r="J72" s="263"/>
      <c r="K72" s="156"/>
      <c r="L72" s="156"/>
      <c r="M72" s="156"/>
      <c r="N72" s="265"/>
      <c r="O72" s="265"/>
      <c r="P72" s="265"/>
      <c r="Q72" s="265"/>
      <c r="R72" s="266"/>
      <c r="S72" s="267"/>
      <c r="T72" s="268"/>
      <c r="U72" s="265"/>
      <c r="V72" s="264"/>
      <c r="W72" s="263"/>
      <c r="X72" s="266"/>
      <c r="Y72" s="266"/>
      <c r="Z72" s="266"/>
      <c r="AA72" s="266"/>
      <c r="AB72" s="266"/>
      <c r="AC72" s="250"/>
      <c r="AD72" s="267"/>
      <c r="AE72" s="267"/>
      <c r="AF72" s="264"/>
      <c r="AG72" s="267"/>
      <c r="AH72" s="266"/>
      <c r="AI72" s="265"/>
      <c r="AJ72" s="263"/>
      <c r="AK72" s="266"/>
      <c r="AL72" s="266"/>
      <c r="AM72" s="251"/>
    </row>
    <row r="73" spans="1:39" x14ac:dyDescent="0.3">
      <c r="A73" s="156" t="s">
        <v>493</v>
      </c>
      <c r="B73" s="156"/>
      <c r="C73" s="156"/>
      <c r="D73" s="156"/>
      <c r="E73" s="156"/>
      <c r="F73" s="156"/>
      <c r="G73" s="156"/>
      <c r="H73" s="156"/>
      <c r="I73" s="156"/>
      <c r="J73" s="263"/>
      <c r="K73" s="156"/>
      <c r="L73" s="156"/>
      <c r="M73" s="156"/>
      <c r="N73" s="265"/>
      <c r="O73" s="265"/>
      <c r="P73" s="265"/>
      <c r="Q73" s="265"/>
      <c r="R73" s="266"/>
      <c r="S73" s="267"/>
      <c r="T73" s="268"/>
      <c r="U73" s="265"/>
      <c r="V73" s="264"/>
      <c r="W73" s="263"/>
      <c r="X73" s="266"/>
      <c r="Y73" s="266"/>
      <c r="Z73" s="266"/>
      <c r="AA73" s="266"/>
      <c r="AB73" s="266"/>
      <c r="AC73" s="250"/>
      <c r="AD73" s="267"/>
      <c r="AE73" s="267"/>
      <c r="AF73" s="264"/>
      <c r="AG73" s="267"/>
      <c r="AH73" s="266"/>
      <c r="AI73" s="265"/>
      <c r="AJ73" s="263"/>
      <c r="AK73" s="266"/>
      <c r="AL73" s="266"/>
      <c r="AM73" s="251"/>
    </row>
    <row r="74" spans="1:39" x14ac:dyDescent="0.3">
      <c r="A74" s="156" t="s">
        <v>493</v>
      </c>
      <c r="B74" s="156"/>
      <c r="C74" s="156"/>
      <c r="D74" s="156"/>
      <c r="E74" s="156"/>
      <c r="F74" s="156"/>
      <c r="G74" s="156"/>
      <c r="H74" s="156"/>
      <c r="I74" s="156"/>
      <c r="J74" s="263"/>
      <c r="K74" s="156"/>
      <c r="L74" s="156"/>
      <c r="M74" s="156"/>
      <c r="N74" s="265"/>
      <c r="O74" s="265"/>
      <c r="P74" s="265"/>
      <c r="Q74" s="265"/>
      <c r="R74" s="266"/>
      <c r="S74" s="267"/>
      <c r="T74" s="268"/>
      <c r="U74" s="265"/>
      <c r="V74" s="264"/>
      <c r="W74" s="263"/>
      <c r="X74" s="266"/>
      <c r="Y74" s="266"/>
      <c r="Z74" s="266"/>
      <c r="AA74" s="266"/>
      <c r="AB74" s="266"/>
      <c r="AC74" s="250"/>
      <c r="AD74" s="267"/>
      <c r="AE74" s="267"/>
      <c r="AF74" s="264"/>
      <c r="AG74" s="267"/>
      <c r="AH74" s="266"/>
      <c r="AI74" s="265"/>
      <c r="AJ74" s="263"/>
      <c r="AK74" s="266"/>
      <c r="AL74" s="266"/>
      <c r="AM74" s="251"/>
    </row>
    <row r="75" spans="1:39" x14ac:dyDescent="0.3">
      <c r="A75" s="156" t="s">
        <v>493</v>
      </c>
      <c r="B75" s="156"/>
      <c r="C75" s="156"/>
      <c r="D75" s="156"/>
      <c r="E75" s="156"/>
      <c r="F75" s="156"/>
      <c r="G75" s="156"/>
      <c r="H75" s="156"/>
      <c r="I75" s="156"/>
      <c r="J75" s="263"/>
      <c r="K75" s="156"/>
      <c r="L75" s="156"/>
      <c r="M75" s="156"/>
      <c r="N75" s="265"/>
      <c r="O75" s="265"/>
      <c r="P75" s="265"/>
      <c r="Q75" s="265"/>
      <c r="R75" s="266"/>
      <c r="S75" s="267"/>
      <c r="T75" s="268"/>
      <c r="U75" s="265"/>
      <c r="V75" s="264"/>
      <c r="W75" s="263"/>
      <c r="X75" s="266"/>
      <c r="Y75" s="266"/>
      <c r="Z75" s="266"/>
      <c r="AA75" s="266"/>
      <c r="AB75" s="266"/>
      <c r="AC75" s="250"/>
      <c r="AD75" s="267"/>
      <c r="AE75" s="267"/>
      <c r="AF75" s="264"/>
      <c r="AG75" s="267"/>
      <c r="AH75" s="266"/>
      <c r="AI75" s="265"/>
      <c r="AJ75" s="263"/>
      <c r="AK75" s="266"/>
      <c r="AL75" s="266"/>
      <c r="AM75" s="251"/>
    </row>
    <row r="76" spans="1:39" x14ac:dyDescent="0.3">
      <c r="A76" s="156" t="s">
        <v>493</v>
      </c>
      <c r="B76" s="156"/>
      <c r="C76" s="156"/>
      <c r="D76" s="156"/>
      <c r="E76" s="156"/>
      <c r="F76" s="156"/>
      <c r="G76" s="156"/>
      <c r="H76" s="156"/>
      <c r="I76" s="156"/>
      <c r="J76" s="263"/>
      <c r="K76" s="156"/>
      <c r="L76" s="156"/>
      <c r="M76" s="156"/>
      <c r="N76" s="265"/>
      <c r="O76" s="265"/>
      <c r="P76" s="265"/>
      <c r="Q76" s="265"/>
      <c r="R76" s="266"/>
      <c r="S76" s="267"/>
      <c r="T76" s="268"/>
      <c r="U76" s="265"/>
      <c r="V76" s="264"/>
      <c r="W76" s="263"/>
      <c r="X76" s="266"/>
      <c r="Y76" s="266"/>
      <c r="Z76" s="266"/>
      <c r="AA76" s="266"/>
      <c r="AB76" s="266"/>
      <c r="AC76" s="250"/>
      <c r="AD76" s="267"/>
      <c r="AE76" s="267"/>
      <c r="AF76" s="264"/>
      <c r="AG76" s="267"/>
      <c r="AH76" s="266"/>
      <c r="AI76" s="265"/>
      <c r="AJ76" s="263"/>
      <c r="AK76" s="266"/>
      <c r="AL76" s="266"/>
      <c r="AM76" s="251"/>
    </row>
    <row r="77" spans="1:39" x14ac:dyDescent="0.3">
      <c r="A77" s="156" t="s">
        <v>493</v>
      </c>
      <c r="B77" s="156"/>
      <c r="C77" s="156"/>
      <c r="D77" s="156"/>
      <c r="E77" s="156"/>
      <c r="F77" s="156"/>
      <c r="G77" s="156"/>
      <c r="H77" s="156"/>
      <c r="I77" s="156"/>
      <c r="J77" s="263"/>
      <c r="K77" s="156"/>
      <c r="L77" s="156"/>
      <c r="M77" s="156"/>
      <c r="N77" s="265"/>
      <c r="O77" s="265"/>
      <c r="P77" s="265"/>
      <c r="Q77" s="265"/>
      <c r="R77" s="266"/>
      <c r="S77" s="267"/>
      <c r="T77" s="268"/>
      <c r="U77" s="265"/>
      <c r="V77" s="264"/>
      <c r="W77" s="263"/>
      <c r="X77" s="266"/>
      <c r="Y77" s="266"/>
      <c r="Z77" s="266"/>
      <c r="AA77" s="266"/>
      <c r="AB77" s="266"/>
      <c r="AC77" s="250"/>
      <c r="AD77" s="267"/>
      <c r="AE77" s="267"/>
      <c r="AF77" s="264"/>
      <c r="AG77" s="267"/>
      <c r="AH77" s="266"/>
      <c r="AI77" s="265"/>
      <c r="AJ77" s="263"/>
      <c r="AK77" s="266"/>
      <c r="AL77" s="266"/>
      <c r="AM77" s="251"/>
    </row>
    <row r="78" spans="1:39" x14ac:dyDescent="0.3">
      <c r="A78" s="156" t="s">
        <v>493</v>
      </c>
      <c r="B78" s="156"/>
      <c r="C78" s="156"/>
      <c r="D78" s="156"/>
      <c r="E78" s="156"/>
      <c r="F78" s="156"/>
      <c r="G78" s="156"/>
      <c r="H78" s="156"/>
      <c r="I78" s="156"/>
      <c r="J78" s="263"/>
      <c r="K78" s="156"/>
      <c r="L78" s="156"/>
      <c r="M78" s="156"/>
      <c r="N78" s="265"/>
      <c r="O78" s="265"/>
      <c r="P78" s="265"/>
      <c r="Q78" s="265"/>
      <c r="R78" s="266"/>
      <c r="S78" s="267"/>
      <c r="T78" s="268"/>
      <c r="U78" s="265"/>
      <c r="V78" s="264"/>
      <c r="W78" s="263"/>
      <c r="X78" s="266"/>
      <c r="Y78" s="266"/>
      <c r="Z78" s="266"/>
      <c r="AA78" s="266"/>
      <c r="AB78" s="266"/>
      <c r="AC78" s="250"/>
      <c r="AD78" s="267"/>
      <c r="AE78" s="267"/>
      <c r="AF78" s="264"/>
      <c r="AG78" s="267"/>
      <c r="AH78" s="266"/>
      <c r="AI78" s="265"/>
      <c r="AJ78" s="263"/>
      <c r="AK78" s="266"/>
      <c r="AL78" s="266"/>
      <c r="AM78" s="251"/>
    </row>
    <row r="79" spans="1:39" x14ac:dyDescent="0.3">
      <c r="A79" s="156" t="s">
        <v>493</v>
      </c>
      <c r="B79" s="156"/>
      <c r="C79" s="156"/>
      <c r="D79" s="156"/>
      <c r="E79" s="156"/>
      <c r="F79" s="156"/>
      <c r="G79" s="156"/>
      <c r="H79" s="156"/>
      <c r="I79" s="156"/>
      <c r="J79" s="263"/>
      <c r="K79" s="156"/>
      <c r="L79" s="156"/>
      <c r="M79" s="156"/>
      <c r="N79" s="265"/>
      <c r="O79" s="265"/>
      <c r="P79" s="265"/>
      <c r="Q79" s="265"/>
      <c r="R79" s="266"/>
      <c r="S79" s="267"/>
      <c r="T79" s="268"/>
      <c r="U79" s="265"/>
      <c r="V79" s="264"/>
      <c r="W79" s="263"/>
      <c r="X79" s="266"/>
      <c r="Y79" s="266"/>
      <c r="Z79" s="266"/>
      <c r="AA79" s="266"/>
      <c r="AB79" s="266"/>
      <c r="AC79" s="250"/>
      <c r="AD79" s="267"/>
      <c r="AE79" s="267"/>
      <c r="AF79" s="264"/>
      <c r="AG79" s="267"/>
      <c r="AH79" s="266"/>
      <c r="AI79" s="265"/>
      <c r="AJ79" s="263"/>
      <c r="AK79" s="266"/>
      <c r="AL79" s="266"/>
      <c r="AM79" s="251"/>
    </row>
    <row r="80" spans="1:39" x14ac:dyDescent="0.3">
      <c r="A80" s="156" t="s">
        <v>493</v>
      </c>
      <c r="B80" s="156"/>
      <c r="C80" s="156"/>
      <c r="D80" s="156"/>
      <c r="E80" s="156"/>
      <c r="F80" s="156"/>
      <c r="G80" s="156"/>
      <c r="H80" s="156"/>
      <c r="I80" s="156"/>
      <c r="J80" s="263"/>
      <c r="K80" s="156"/>
      <c r="L80" s="156"/>
      <c r="M80" s="156"/>
      <c r="N80" s="265"/>
      <c r="O80" s="265"/>
      <c r="P80" s="265"/>
      <c r="Q80" s="265"/>
      <c r="R80" s="266"/>
      <c r="S80" s="267"/>
      <c r="T80" s="268"/>
      <c r="U80" s="265"/>
      <c r="V80" s="264"/>
      <c r="W80" s="263"/>
      <c r="X80" s="266"/>
      <c r="Y80" s="266"/>
      <c r="Z80" s="266"/>
      <c r="AA80" s="266"/>
      <c r="AB80" s="266"/>
      <c r="AC80" s="250"/>
      <c r="AD80" s="267"/>
      <c r="AE80" s="267"/>
      <c r="AF80" s="264"/>
      <c r="AG80" s="267"/>
      <c r="AH80" s="266"/>
      <c r="AI80" s="265"/>
      <c r="AJ80" s="263"/>
      <c r="AK80" s="266"/>
      <c r="AL80" s="266"/>
      <c r="AM80" s="251"/>
    </row>
    <row r="81" spans="1:39" x14ac:dyDescent="0.3">
      <c r="A81" s="156" t="s">
        <v>493</v>
      </c>
      <c r="B81" s="156"/>
      <c r="C81" s="156"/>
      <c r="D81" s="156"/>
      <c r="E81" s="156"/>
      <c r="F81" s="156"/>
      <c r="G81" s="156"/>
      <c r="H81" s="156"/>
      <c r="I81" s="156"/>
      <c r="J81" s="263"/>
      <c r="K81" s="156"/>
      <c r="L81" s="156"/>
      <c r="M81" s="156"/>
      <c r="N81" s="265"/>
      <c r="O81" s="265"/>
      <c r="P81" s="265"/>
      <c r="Q81" s="265"/>
      <c r="R81" s="266"/>
      <c r="S81" s="267"/>
      <c r="T81" s="268"/>
      <c r="U81" s="265"/>
      <c r="V81" s="264"/>
      <c r="W81" s="263"/>
      <c r="X81" s="266"/>
      <c r="Y81" s="266"/>
      <c r="Z81" s="266"/>
      <c r="AA81" s="266"/>
      <c r="AB81" s="266"/>
      <c r="AC81" s="250"/>
      <c r="AD81" s="267"/>
      <c r="AE81" s="267"/>
      <c r="AF81" s="264"/>
      <c r="AG81" s="267"/>
      <c r="AH81" s="266"/>
      <c r="AI81" s="265"/>
      <c r="AJ81" s="263"/>
      <c r="AK81" s="266"/>
      <c r="AL81" s="266"/>
      <c r="AM81" s="251"/>
    </row>
    <row r="82" spans="1:39" x14ac:dyDescent="0.3">
      <c r="A82" s="156" t="s">
        <v>493</v>
      </c>
      <c r="B82" s="156"/>
      <c r="C82" s="156"/>
      <c r="D82" s="156"/>
      <c r="E82" s="156"/>
      <c r="F82" s="156"/>
      <c r="G82" s="156"/>
      <c r="H82" s="156"/>
      <c r="I82" s="156"/>
      <c r="J82" s="263"/>
      <c r="K82" s="156"/>
      <c r="L82" s="156"/>
      <c r="M82" s="156"/>
      <c r="N82" s="265"/>
      <c r="O82" s="265"/>
      <c r="P82" s="265"/>
      <c r="Q82" s="265"/>
      <c r="R82" s="266"/>
      <c r="S82" s="267"/>
      <c r="T82" s="268"/>
      <c r="U82" s="265"/>
      <c r="V82" s="264"/>
      <c r="W82" s="263"/>
      <c r="X82" s="266"/>
      <c r="Y82" s="266"/>
      <c r="Z82" s="266"/>
      <c r="AA82" s="266"/>
      <c r="AB82" s="266"/>
      <c r="AC82" s="250"/>
      <c r="AD82" s="267"/>
      <c r="AE82" s="267"/>
      <c r="AF82" s="264"/>
      <c r="AG82" s="267"/>
      <c r="AH82" s="266"/>
      <c r="AI82" s="265"/>
      <c r="AJ82" s="263"/>
      <c r="AK82" s="266"/>
      <c r="AL82" s="266"/>
      <c r="AM82" s="251"/>
    </row>
    <row r="83" spans="1:39" x14ac:dyDescent="0.3">
      <c r="A83" s="156" t="s">
        <v>493</v>
      </c>
      <c r="B83" s="156"/>
      <c r="C83" s="156"/>
      <c r="D83" s="156"/>
      <c r="E83" s="156"/>
      <c r="F83" s="156"/>
      <c r="G83" s="156"/>
      <c r="H83" s="156"/>
      <c r="I83" s="156"/>
      <c r="J83" s="263"/>
      <c r="K83" s="156"/>
      <c r="L83" s="156"/>
      <c r="M83" s="156"/>
      <c r="N83" s="265"/>
      <c r="O83" s="265"/>
      <c r="P83" s="265"/>
      <c r="Q83" s="265"/>
      <c r="R83" s="266"/>
      <c r="S83" s="267"/>
      <c r="T83" s="268"/>
      <c r="U83" s="265"/>
      <c r="V83" s="264"/>
      <c r="W83" s="263"/>
      <c r="X83" s="266"/>
      <c r="Y83" s="266"/>
      <c r="Z83" s="266"/>
      <c r="AA83" s="266"/>
      <c r="AB83" s="266"/>
      <c r="AC83" s="250"/>
      <c r="AD83" s="267"/>
      <c r="AE83" s="267"/>
      <c r="AF83" s="264"/>
      <c r="AG83" s="267"/>
      <c r="AH83" s="266"/>
      <c r="AI83" s="265"/>
      <c r="AJ83" s="263"/>
      <c r="AK83" s="266"/>
      <c r="AL83" s="266"/>
      <c r="AM83" s="251"/>
    </row>
    <row r="84" spans="1:39" x14ac:dyDescent="0.3">
      <c r="A84" s="156" t="s">
        <v>493</v>
      </c>
      <c r="B84" s="156"/>
      <c r="C84" s="156"/>
      <c r="D84" s="156"/>
      <c r="E84" s="156"/>
      <c r="F84" s="156"/>
      <c r="G84" s="156"/>
      <c r="H84" s="156"/>
      <c r="I84" s="156"/>
      <c r="J84" s="263"/>
      <c r="K84" s="156"/>
      <c r="L84" s="156"/>
      <c r="M84" s="156"/>
      <c r="N84" s="265"/>
      <c r="O84" s="265"/>
      <c r="P84" s="265"/>
      <c r="Q84" s="265"/>
      <c r="R84" s="266"/>
      <c r="S84" s="267"/>
      <c r="T84" s="268"/>
      <c r="U84" s="265"/>
      <c r="V84" s="264"/>
      <c r="W84" s="263"/>
      <c r="X84" s="266"/>
      <c r="Y84" s="266"/>
      <c r="Z84" s="266"/>
      <c r="AA84" s="266"/>
      <c r="AB84" s="266"/>
      <c r="AC84" s="250"/>
      <c r="AD84" s="267"/>
      <c r="AE84" s="267"/>
      <c r="AF84" s="264"/>
      <c r="AG84" s="267"/>
      <c r="AH84" s="266"/>
      <c r="AI84" s="265"/>
      <c r="AJ84" s="263"/>
      <c r="AK84" s="266"/>
      <c r="AL84" s="266"/>
      <c r="AM84" s="251"/>
    </row>
    <row r="85" spans="1:39" x14ac:dyDescent="0.3">
      <c r="A85" s="156" t="s">
        <v>493</v>
      </c>
      <c r="B85" s="156"/>
      <c r="C85" s="156"/>
      <c r="D85" s="156"/>
      <c r="E85" s="156"/>
      <c r="F85" s="156"/>
      <c r="G85" s="156"/>
      <c r="H85" s="156"/>
      <c r="I85" s="156"/>
      <c r="J85" s="263"/>
      <c r="K85" s="156"/>
      <c r="L85" s="156"/>
      <c r="M85" s="156"/>
      <c r="N85" s="265"/>
      <c r="O85" s="265"/>
      <c r="P85" s="265"/>
      <c r="Q85" s="265"/>
      <c r="R85" s="266"/>
      <c r="S85" s="267"/>
      <c r="T85" s="268"/>
      <c r="U85" s="265"/>
      <c r="V85" s="264"/>
      <c r="W85" s="263"/>
      <c r="X85" s="266"/>
      <c r="Y85" s="266"/>
      <c r="Z85" s="266"/>
      <c r="AA85" s="266"/>
      <c r="AB85" s="266"/>
      <c r="AC85" s="250"/>
      <c r="AD85" s="267"/>
      <c r="AE85" s="267"/>
      <c r="AF85" s="264"/>
      <c r="AG85" s="267"/>
      <c r="AH85" s="266"/>
      <c r="AI85" s="265"/>
      <c r="AJ85" s="263"/>
      <c r="AK85" s="266"/>
      <c r="AL85" s="266"/>
      <c r="AM85" s="251"/>
    </row>
    <row r="86" spans="1:39" x14ac:dyDescent="0.3">
      <c r="A86" s="156" t="s">
        <v>493</v>
      </c>
      <c r="B86" s="156"/>
      <c r="C86" s="156"/>
      <c r="D86" s="156"/>
      <c r="E86" s="156"/>
      <c r="F86" s="156"/>
      <c r="G86" s="156"/>
      <c r="H86" s="156"/>
      <c r="I86" s="156"/>
      <c r="J86" s="263"/>
      <c r="K86" s="156"/>
      <c r="L86" s="156"/>
      <c r="M86" s="156"/>
      <c r="N86" s="265"/>
      <c r="O86" s="265"/>
      <c r="P86" s="265"/>
      <c r="Q86" s="265"/>
      <c r="R86" s="266"/>
      <c r="S86" s="267"/>
      <c r="T86" s="268"/>
      <c r="U86" s="265"/>
      <c r="V86" s="264"/>
      <c r="W86" s="263"/>
      <c r="X86" s="266"/>
      <c r="Y86" s="266"/>
      <c r="Z86" s="266"/>
      <c r="AA86" s="266"/>
      <c r="AB86" s="266"/>
      <c r="AC86" s="250"/>
      <c r="AD86" s="267"/>
      <c r="AE86" s="267"/>
      <c r="AF86" s="264"/>
      <c r="AG86" s="267"/>
      <c r="AH86" s="266"/>
      <c r="AI86" s="265"/>
      <c r="AJ86" s="263"/>
      <c r="AK86" s="266"/>
      <c r="AL86" s="266"/>
      <c r="AM86" s="251"/>
    </row>
    <row r="87" spans="1:39" x14ac:dyDescent="0.3">
      <c r="A87" s="156" t="s">
        <v>493</v>
      </c>
      <c r="B87" s="156"/>
      <c r="C87" s="156"/>
      <c r="D87" s="156"/>
      <c r="E87" s="156"/>
      <c r="F87" s="156"/>
      <c r="G87" s="156"/>
      <c r="H87" s="156"/>
      <c r="I87" s="156"/>
      <c r="J87" s="263"/>
      <c r="K87" s="156"/>
      <c r="L87" s="156"/>
      <c r="M87" s="156"/>
      <c r="N87" s="265"/>
      <c r="O87" s="265"/>
      <c r="P87" s="265"/>
      <c r="Q87" s="265"/>
      <c r="R87" s="266"/>
      <c r="S87" s="267"/>
      <c r="T87" s="268"/>
      <c r="U87" s="265"/>
      <c r="V87" s="264"/>
      <c r="W87" s="263"/>
      <c r="X87" s="266"/>
      <c r="Y87" s="266"/>
      <c r="Z87" s="266"/>
      <c r="AA87" s="266"/>
      <c r="AB87" s="266"/>
      <c r="AC87" s="250"/>
      <c r="AD87" s="267"/>
      <c r="AE87" s="267"/>
      <c r="AF87" s="264"/>
      <c r="AG87" s="267"/>
      <c r="AH87" s="266"/>
      <c r="AI87" s="265"/>
      <c r="AJ87" s="263"/>
      <c r="AK87" s="266"/>
      <c r="AL87" s="266"/>
      <c r="AM87" s="251"/>
    </row>
    <row r="88" spans="1:39" x14ac:dyDescent="0.3">
      <c r="A88" s="156" t="s">
        <v>493</v>
      </c>
      <c r="B88" s="156"/>
      <c r="C88" s="156"/>
      <c r="D88" s="156"/>
      <c r="E88" s="156"/>
      <c r="F88" s="156"/>
      <c r="G88" s="156"/>
      <c r="H88" s="156"/>
      <c r="I88" s="156"/>
      <c r="J88" s="263"/>
      <c r="K88" s="156"/>
      <c r="L88" s="156"/>
      <c r="M88" s="156"/>
      <c r="N88" s="265"/>
      <c r="O88" s="265"/>
      <c r="P88" s="265"/>
      <c r="Q88" s="265"/>
      <c r="R88" s="266"/>
      <c r="S88" s="267"/>
      <c r="T88" s="268"/>
      <c r="U88" s="265"/>
      <c r="V88" s="264"/>
      <c r="W88" s="263"/>
      <c r="X88" s="266"/>
      <c r="Y88" s="266"/>
      <c r="Z88" s="266"/>
      <c r="AA88" s="266"/>
      <c r="AB88" s="266"/>
      <c r="AC88" s="250"/>
      <c r="AD88" s="267"/>
      <c r="AE88" s="267"/>
      <c r="AF88" s="264"/>
      <c r="AG88" s="267"/>
      <c r="AH88" s="266"/>
      <c r="AI88" s="265"/>
      <c r="AJ88" s="263"/>
      <c r="AK88" s="266"/>
      <c r="AL88" s="266"/>
      <c r="AM88" s="251"/>
    </row>
    <row r="89" spans="1:39" x14ac:dyDescent="0.3">
      <c r="A89" s="156" t="s">
        <v>493</v>
      </c>
      <c r="B89" s="156"/>
      <c r="C89" s="269"/>
      <c r="D89" s="156"/>
      <c r="E89" s="156"/>
      <c r="F89" s="156"/>
      <c r="G89" s="156"/>
      <c r="H89" s="156"/>
      <c r="I89" s="156"/>
      <c r="J89" s="263"/>
      <c r="K89" s="156"/>
      <c r="L89" s="156"/>
      <c r="M89" s="156"/>
      <c r="N89" s="265"/>
      <c r="O89" s="265"/>
      <c r="P89" s="265"/>
      <c r="Q89" s="265"/>
      <c r="R89" s="266"/>
      <c r="S89" s="267"/>
      <c r="T89" s="268"/>
      <c r="U89" s="265"/>
      <c r="V89" s="264"/>
      <c r="W89" s="263"/>
      <c r="X89" s="266"/>
      <c r="Y89" s="266"/>
      <c r="Z89" s="266"/>
      <c r="AA89" s="266"/>
      <c r="AB89" s="266"/>
      <c r="AC89" s="250"/>
      <c r="AD89" s="267"/>
      <c r="AE89" s="267"/>
      <c r="AF89" s="264"/>
      <c r="AG89" s="267"/>
      <c r="AH89" s="266"/>
      <c r="AI89" s="265"/>
      <c r="AJ89" s="263"/>
      <c r="AK89" s="266"/>
      <c r="AL89" s="266"/>
      <c r="AM89" s="251"/>
    </row>
    <row r="90" spans="1:39" x14ac:dyDescent="0.3">
      <c r="A90" s="156" t="s">
        <v>493</v>
      </c>
      <c r="B90" s="156"/>
      <c r="C90" s="156"/>
      <c r="D90" s="156"/>
      <c r="E90" s="156"/>
      <c r="F90" s="156"/>
      <c r="G90" s="156"/>
      <c r="H90" s="156"/>
      <c r="I90" s="156"/>
      <c r="J90" s="263"/>
      <c r="K90" s="156"/>
      <c r="L90" s="156"/>
      <c r="M90" s="156"/>
      <c r="N90" s="265"/>
      <c r="O90" s="265"/>
      <c r="P90" s="265"/>
      <c r="Q90" s="265"/>
      <c r="R90" s="266"/>
      <c r="S90" s="267"/>
      <c r="T90" s="268"/>
      <c r="U90" s="265"/>
      <c r="V90" s="264"/>
      <c r="W90" s="263"/>
      <c r="X90" s="266"/>
      <c r="Y90" s="266"/>
      <c r="Z90" s="266"/>
      <c r="AA90" s="266"/>
      <c r="AB90" s="266"/>
      <c r="AC90" s="250"/>
      <c r="AD90" s="267"/>
      <c r="AE90" s="267"/>
      <c r="AF90" s="264"/>
      <c r="AG90" s="267"/>
      <c r="AH90" s="266"/>
      <c r="AI90" s="265"/>
      <c r="AJ90" s="263"/>
      <c r="AK90" s="266"/>
      <c r="AL90" s="266"/>
      <c r="AM90" s="251"/>
    </row>
    <row r="91" spans="1:39" x14ac:dyDescent="0.3">
      <c r="A91" s="156" t="s">
        <v>493</v>
      </c>
      <c r="B91" s="156"/>
      <c r="C91" s="156"/>
      <c r="D91" s="156"/>
      <c r="E91" s="156"/>
      <c r="F91" s="156"/>
      <c r="G91" s="156"/>
      <c r="H91" s="156"/>
      <c r="I91" s="156"/>
      <c r="J91" s="263"/>
      <c r="K91" s="156"/>
      <c r="L91" s="156"/>
      <c r="M91" s="156"/>
      <c r="N91" s="265"/>
      <c r="O91" s="265"/>
      <c r="P91" s="265"/>
      <c r="Q91" s="265"/>
      <c r="R91" s="266"/>
      <c r="S91" s="267"/>
      <c r="T91" s="268"/>
      <c r="U91" s="265"/>
      <c r="V91" s="264"/>
      <c r="W91" s="263"/>
      <c r="X91" s="266"/>
      <c r="Y91" s="266"/>
      <c r="Z91" s="266"/>
      <c r="AA91" s="266"/>
      <c r="AB91" s="266"/>
      <c r="AC91" s="250"/>
      <c r="AD91" s="267"/>
      <c r="AE91" s="267"/>
      <c r="AF91" s="264"/>
      <c r="AG91" s="267"/>
      <c r="AH91" s="266"/>
      <c r="AI91" s="265"/>
      <c r="AJ91" s="263"/>
      <c r="AK91" s="266"/>
      <c r="AL91" s="266"/>
      <c r="AM91" s="251"/>
    </row>
    <row r="92" spans="1:39" x14ac:dyDescent="0.3">
      <c r="A92" s="156" t="s">
        <v>493</v>
      </c>
      <c r="B92" s="156"/>
      <c r="C92" s="156"/>
      <c r="D92" s="156"/>
      <c r="E92" s="156"/>
      <c r="F92" s="156"/>
      <c r="G92" s="156"/>
      <c r="H92" s="156"/>
      <c r="I92" s="156"/>
      <c r="J92" s="263"/>
      <c r="K92" s="156"/>
      <c r="L92" s="156"/>
      <c r="M92" s="156"/>
      <c r="N92" s="265"/>
      <c r="O92" s="265"/>
      <c r="P92" s="265"/>
      <c r="Q92" s="265"/>
      <c r="R92" s="266"/>
      <c r="S92" s="267"/>
      <c r="T92" s="268"/>
      <c r="U92" s="265"/>
      <c r="V92" s="264"/>
      <c r="W92" s="263"/>
      <c r="X92" s="266"/>
      <c r="Y92" s="266"/>
      <c r="Z92" s="266"/>
      <c r="AA92" s="266"/>
      <c r="AB92" s="266"/>
      <c r="AC92" s="250"/>
      <c r="AD92" s="267"/>
      <c r="AE92" s="267"/>
      <c r="AF92" s="264"/>
      <c r="AG92" s="267"/>
      <c r="AH92" s="266"/>
      <c r="AI92" s="265"/>
      <c r="AJ92" s="263"/>
      <c r="AK92" s="266"/>
      <c r="AL92" s="266"/>
      <c r="AM92" s="251"/>
    </row>
    <row r="93" spans="1:39" x14ac:dyDescent="0.3">
      <c r="A93" s="156" t="s">
        <v>493</v>
      </c>
      <c r="B93" s="156"/>
      <c r="C93" s="156"/>
      <c r="D93" s="156"/>
      <c r="E93" s="156"/>
      <c r="F93" s="156"/>
      <c r="G93" s="156"/>
      <c r="H93" s="156"/>
      <c r="I93" s="156"/>
      <c r="J93" s="263"/>
      <c r="K93" s="264"/>
      <c r="L93" s="156"/>
      <c r="M93" s="156"/>
      <c r="N93" s="265"/>
      <c r="O93" s="265"/>
      <c r="P93" s="265"/>
      <c r="Q93" s="265"/>
      <c r="R93" s="266"/>
      <c r="S93" s="267"/>
      <c r="T93" s="268"/>
      <c r="U93" s="265"/>
      <c r="V93" s="264"/>
      <c r="W93" s="263"/>
      <c r="X93" s="266"/>
      <c r="Y93" s="266"/>
      <c r="Z93" s="266"/>
      <c r="AA93" s="266"/>
      <c r="AB93" s="266"/>
      <c r="AC93" s="250"/>
      <c r="AD93" s="267"/>
      <c r="AE93" s="267"/>
      <c r="AF93" s="264"/>
      <c r="AG93" s="267"/>
      <c r="AH93" s="266"/>
      <c r="AI93" s="265"/>
      <c r="AJ93" s="263"/>
      <c r="AK93" s="266"/>
      <c r="AL93" s="266"/>
      <c r="AM93" s="251"/>
    </row>
    <row r="94" spans="1:39" x14ac:dyDescent="0.3">
      <c r="A94" s="156" t="s">
        <v>493</v>
      </c>
      <c r="B94" s="156"/>
      <c r="C94" s="156"/>
      <c r="D94" s="156"/>
      <c r="E94" s="156"/>
      <c r="F94" s="156"/>
      <c r="G94" s="156"/>
      <c r="H94" s="156"/>
      <c r="I94" s="156"/>
      <c r="J94" s="263"/>
      <c r="K94" s="264"/>
      <c r="L94" s="156"/>
      <c r="M94" s="156"/>
      <c r="N94" s="265"/>
      <c r="O94" s="265"/>
      <c r="P94" s="265"/>
      <c r="Q94" s="265"/>
      <c r="R94" s="266"/>
      <c r="S94" s="267"/>
      <c r="T94" s="268"/>
      <c r="U94" s="265"/>
      <c r="V94" s="264"/>
      <c r="W94" s="263"/>
      <c r="X94" s="266"/>
      <c r="Y94" s="266"/>
      <c r="Z94" s="266"/>
      <c r="AA94" s="266"/>
      <c r="AB94" s="266"/>
      <c r="AC94" s="250"/>
      <c r="AD94" s="267"/>
      <c r="AE94" s="267"/>
      <c r="AF94" s="264"/>
      <c r="AG94" s="267"/>
      <c r="AH94" s="266"/>
      <c r="AI94" s="265"/>
      <c r="AJ94" s="263"/>
      <c r="AK94" s="266"/>
      <c r="AL94" s="266"/>
      <c r="AM94" s="251"/>
    </row>
    <row r="95" spans="1:39" x14ac:dyDescent="0.3">
      <c r="A95" s="156" t="s">
        <v>493</v>
      </c>
      <c r="B95" s="156"/>
      <c r="C95" s="156"/>
      <c r="D95" s="156"/>
      <c r="E95" s="156"/>
      <c r="F95" s="156"/>
      <c r="G95" s="156"/>
      <c r="H95" s="156"/>
      <c r="I95" s="156"/>
      <c r="J95" s="263"/>
      <c r="K95" s="264"/>
      <c r="L95" s="156"/>
      <c r="M95" s="156"/>
      <c r="N95" s="265"/>
      <c r="O95" s="265"/>
      <c r="P95" s="265"/>
      <c r="Q95" s="265"/>
      <c r="R95" s="266"/>
      <c r="S95" s="267"/>
      <c r="T95" s="268"/>
      <c r="U95" s="265"/>
      <c r="V95" s="264"/>
      <c r="W95" s="263"/>
      <c r="X95" s="266"/>
      <c r="Y95" s="266"/>
      <c r="Z95" s="266"/>
      <c r="AA95" s="266"/>
      <c r="AB95" s="266"/>
      <c r="AC95" s="250"/>
      <c r="AD95" s="267"/>
      <c r="AE95" s="267"/>
      <c r="AF95" s="264"/>
      <c r="AG95" s="267"/>
      <c r="AH95" s="266"/>
      <c r="AI95" s="265"/>
      <c r="AJ95" s="263"/>
      <c r="AK95" s="266"/>
      <c r="AL95" s="266"/>
      <c r="AM95" s="251"/>
    </row>
    <row r="96" spans="1:39" x14ac:dyDescent="0.3">
      <c r="A96" s="156" t="s">
        <v>493</v>
      </c>
      <c r="B96" s="156"/>
      <c r="C96" s="156"/>
      <c r="D96" s="156"/>
      <c r="E96" s="156"/>
      <c r="F96" s="156"/>
      <c r="G96" s="156"/>
      <c r="H96" s="156"/>
      <c r="I96" s="156"/>
      <c r="J96" s="263"/>
      <c r="K96" s="264"/>
      <c r="L96" s="156"/>
      <c r="M96" s="156"/>
      <c r="N96" s="265"/>
      <c r="O96" s="265"/>
      <c r="P96" s="265"/>
      <c r="Q96" s="265"/>
      <c r="R96" s="266"/>
      <c r="S96" s="267"/>
      <c r="T96" s="268"/>
      <c r="U96" s="265"/>
      <c r="V96" s="264"/>
      <c r="W96" s="263"/>
      <c r="X96" s="266"/>
      <c r="Y96" s="266"/>
      <c r="Z96" s="266"/>
      <c r="AA96" s="266"/>
      <c r="AB96" s="266"/>
      <c r="AC96" s="250"/>
      <c r="AD96" s="267"/>
      <c r="AE96" s="267"/>
      <c r="AF96" s="264"/>
      <c r="AG96" s="267"/>
      <c r="AH96" s="266"/>
      <c r="AI96" s="265"/>
      <c r="AJ96" s="263"/>
      <c r="AK96" s="266"/>
      <c r="AL96" s="266"/>
      <c r="AM96" s="251"/>
    </row>
    <row r="97" spans="1:39" x14ac:dyDescent="0.3">
      <c r="A97" s="156" t="s">
        <v>493</v>
      </c>
      <c r="B97" s="156"/>
      <c r="C97" s="156"/>
      <c r="D97" s="156"/>
      <c r="E97" s="156"/>
      <c r="F97" s="156"/>
      <c r="G97" s="156"/>
      <c r="H97" s="156"/>
      <c r="I97" s="156"/>
      <c r="J97" s="263"/>
      <c r="K97" s="156"/>
      <c r="L97" s="156"/>
      <c r="M97" s="156"/>
      <c r="N97" s="265"/>
      <c r="O97" s="265"/>
      <c r="P97" s="265"/>
      <c r="Q97" s="265"/>
      <c r="R97" s="266"/>
      <c r="S97" s="267"/>
      <c r="T97" s="268"/>
      <c r="U97" s="265"/>
      <c r="V97" s="264"/>
      <c r="W97" s="263"/>
      <c r="X97" s="266"/>
      <c r="Y97" s="266"/>
      <c r="Z97" s="266"/>
      <c r="AA97" s="266"/>
      <c r="AB97" s="266"/>
      <c r="AC97" s="250"/>
      <c r="AD97" s="267"/>
      <c r="AE97" s="267"/>
      <c r="AF97" s="264"/>
      <c r="AG97" s="267"/>
      <c r="AH97" s="266"/>
      <c r="AI97" s="265"/>
      <c r="AJ97" s="263"/>
      <c r="AK97" s="266"/>
      <c r="AL97" s="266"/>
      <c r="AM97" s="251"/>
    </row>
    <row r="98" spans="1:39" x14ac:dyDescent="0.3">
      <c r="A98" s="156" t="s">
        <v>493</v>
      </c>
      <c r="B98" s="156"/>
      <c r="C98" s="156"/>
      <c r="D98" s="156"/>
      <c r="E98" s="156"/>
      <c r="F98" s="156"/>
      <c r="G98" s="156"/>
      <c r="H98" s="156"/>
      <c r="I98" s="156"/>
      <c r="J98" s="263"/>
      <c r="K98" s="264"/>
      <c r="L98" s="156"/>
      <c r="M98" s="156"/>
      <c r="N98" s="265"/>
      <c r="O98" s="265"/>
      <c r="P98" s="265"/>
      <c r="Q98" s="265"/>
      <c r="R98" s="266"/>
      <c r="S98" s="267"/>
      <c r="T98" s="268"/>
      <c r="U98" s="265"/>
      <c r="V98" s="264"/>
      <c r="W98" s="263"/>
      <c r="X98" s="266"/>
      <c r="Y98" s="266"/>
      <c r="Z98" s="266"/>
      <c r="AA98" s="266"/>
      <c r="AB98" s="266"/>
      <c r="AC98" s="250"/>
      <c r="AD98" s="267"/>
      <c r="AE98" s="267"/>
      <c r="AF98" s="264"/>
      <c r="AG98" s="267"/>
      <c r="AH98" s="266"/>
      <c r="AI98" s="265"/>
      <c r="AJ98" s="263"/>
      <c r="AK98" s="266"/>
      <c r="AL98" s="266"/>
      <c r="AM98" s="251"/>
    </row>
    <row r="99" spans="1:39" x14ac:dyDescent="0.3">
      <c r="A99" s="156" t="s">
        <v>493</v>
      </c>
      <c r="B99" s="156"/>
      <c r="C99" s="156"/>
      <c r="D99" s="156"/>
      <c r="E99" s="156"/>
      <c r="F99" s="156"/>
      <c r="G99" s="156"/>
      <c r="H99" s="156"/>
      <c r="I99" s="156"/>
      <c r="J99" s="263"/>
      <c r="K99" s="156"/>
      <c r="L99" s="156"/>
      <c r="M99" s="156"/>
      <c r="N99" s="265"/>
      <c r="O99" s="265"/>
      <c r="P99" s="265"/>
      <c r="Q99" s="265"/>
      <c r="R99" s="266"/>
      <c r="S99" s="267"/>
      <c r="T99" s="268"/>
      <c r="U99" s="265"/>
      <c r="V99" s="264"/>
      <c r="W99" s="263"/>
      <c r="X99" s="266"/>
      <c r="Y99" s="266"/>
      <c r="Z99" s="266"/>
      <c r="AA99" s="266"/>
      <c r="AB99" s="266"/>
      <c r="AC99" s="250"/>
      <c r="AD99" s="267"/>
      <c r="AE99" s="267"/>
      <c r="AF99" s="264"/>
      <c r="AG99" s="267"/>
      <c r="AH99" s="266"/>
      <c r="AI99" s="265"/>
      <c r="AJ99" s="263"/>
      <c r="AK99" s="266"/>
      <c r="AL99" s="266"/>
      <c r="AM99" s="251"/>
    </row>
    <row r="100" spans="1:39" x14ac:dyDescent="0.3">
      <c r="A100" s="156" t="s">
        <v>493</v>
      </c>
      <c r="B100" s="156"/>
      <c r="C100" s="156"/>
      <c r="D100" s="156"/>
      <c r="E100" s="156"/>
      <c r="F100" s="156"/>
      <c r="G100" s="156"/>
      <c r="H100" s="156"/>
      <c r="I100" s="156"/>
      <c r="J100" s="263"/>
      <c r="K100" s="156"/>
      <c r="L100" s="156"/>
      <c r="M100" s="156"/>
      <c r="N100" s="265"/>
      <c r="O100" s="265"/>
      <c r="P100" s="265"/>
      <c r="Q100" s="265"/>
      <c r="R100" s="266"/>
      <c r="S100" s="267"/>
      <c r="T100" s="268"/>
      <c r="U100" s="265"/>
      <c r="V100" s="264"/>
      <c r="W100" s="263"/>
      <c r="X100" s="266"/>
      <c r="Y100" s="266"/>
      <c r="Z100" s="266"/>
      <c r="AA100" s="266"/>
      <c r="AB100" s="266"/>
      <c r="AC100" s="250"/>
      <c r="AD100" s="267"/>
      <c r="AE100" s="267"/>
      <c r="AF100" s="264"/>
      <c r="AG100" s="267"/>
      <c r="AH100" s="266"/>
      <c r="AI100" s="265"/>
      <c r="AJ100" s="263"/>
      <c r="AK100" s="266"/>
      <c r="AL100" s="266"/>
      <c r="AM100" s="251"/>
    </row>
    <row r="101" spans="1:39" x14ac:dyDescent="0.3">
      <c r="A101" s="156"/>
      <c r="B101" s="156"/>
      <c r="C101" s="156"/>
      <c r="D101" s="156"/>
      <c r="E101" s="156"/>
      <c r="F101" s="156"/>
      <c r="G101" s="156"/>
      <c r="H101" s="156"/>
      <c r="I101" s="156"/>
      <c r="J101" s="263"/>
      <c r="K101" s="156"/>
      <c r="L101" s="156"/>
      <c r="M101" s="156"/>
      <c r="N101" s="265"/>
      <c r="O101" s="265"/>
      <c r="P101" s="265"/>
      <c r="Q101" s="265"/>
      <c r="R101" s="266"/>
      <c r="S101" s="267"/>
      <c r="T101" s="268"/>
      <c r="U101" s="265"/>
      <c r="V101" s="264"/>
      <c r="W101" s="263"/>
      <c r="X101" s="266"/>
      <c r="Y101" s="266"/>
      <c r="Z101" s="266"/>
      <c r="AA101" s="266"/>
      <c r="AB101" s="266"/>
      <c r="AC101" s="250"/>
      <c r="AD101" s="267"/>
      <c r="AE101" s="267"/>
      <c r="AF101" s="264"/>
      <c r="AG101" s="267"/>
      <c r="AH101" s="266"/>
      <c r="AI101" s="265"/>
      <c r="AJ101" s="263"/>
      <c r="AK101" s="266"/>
      <c r="AL101" s="266"/>
      <c r="AM101" s="251"/>
    </row>
    <row r="102" spans="1:39" x14ac:dyDescent="0.3">
      <c r="A102" s="156"/>
      <c r="B102" s="156"/>
      <c r="C102" s="156"/>
      <c r="D102" s="156"/>
      <c r="E102" s="156"/>
      <c r="F102" s="156"/>
      <c r="G102" s="156"/>
      <c r="H102" s="156"/>
      <c r="I102" s="156"/>
      <c r="J102" s="263"/>
      <c r="K102" s="156"/>
      <c r="L102" s="156"/>
      <c r="M102" s="156"/>
      <c r="N102" s="265"/>
      <c r="O102" s="265"/>
      <c r="P102" s="265"/>
      <c r="Q102" s="265"/>
      <c r="R102" s="266"/>
      <c r="S102" s="267"/>
      <c r="T102" s="268"/>
      <c r="U102" s="265"/>
      <c r="V102" s="264"/>
      <c r="W102" s="263"/>
      <c r="X102" s="266"/>
      <c r="Y102" s="266"/>
      <c r="Z102" s="266"/>
      <c r="AA102" s="266"/>
      <c r="AB102" s="266"/>
      <c r="AC102" s="250"/>
      <c r="AD102" s="267"/>
      <c r="AE102" s="267"/>
      <c r="AF102" s="264"/>
      <c r="AG102" s="267"/>
      <c r="AH102" s="266"/>
      <c r="AI102" s="265"/>
      <c r="AJ102" s="263"/>
      <c r="AK102" s="266"/>
      <c r="AL102" s="266"/>
      <c r="AM102" s="251"/>
    </row>
    <row r="103" spans="1:39" x14ac:dyDescent="0.3">
      <c r="A103" s="156"/>
      <c r="B103" s="156"/>
      <c r="C103" s="156"/>
      <c r="D103" s="156"/>
      <c r="E103" s="156"/>
      <c r="F103" s="156"/>
      <c r="G103" s="156"/>
      <c r="H103" s="156"/>
      <c r="I103" s="156"/>
      <c r="J103" s="263"/>
      <c r="K103" s="156"/>
      <c r="L103" s="156"/>
      <c r="M103" s="156"/>
      <c r="N103" s="265"/>
      <c r="O103" s="265"/>
      <c r="P103" s="265"/>
      <c r="Q103" s="265"/>
      <c r="R103" s="266"/>
      <c r="S103" s="267"/>
      <c r="T103" s="268"/>
      <c r="U103" s="265"/>
      <c r="V103" s="264"/>
      <c r="W103" s="263"/>
      <c r="X103" s="266"/>
      <c r="Y103" s="266"/>
      <c r="Z103" s="266"/>
      <c r="AA103" s="266"/>
      <c r="AB103" s="266"/>
      <c r="AC103" s="250"/>
      <c r="AD103" s="267"/>
      <c r="AE103" s="267"/>
      <c r="AF103" s="264"/>
      <c r="AG103" s="267"/>
      <c r="AH103" s="266"/>
      <c r="AI103" s="265"/>
      <c r="AJ103" s="263"/>
      <c r="AK103" s="266"/>
      <c r="AL103" s="266"/>
      <c r="AM103" s="251"/>
    </row>
    <row r="104" spans="1:39" x14ac:dyDescent="0.3">
      <c r="A104" s="156"/>
      <c r="B104" s="156"/>
      <c r="C104" s="156"/>
      <c r="D104" s="156"/>
      <c r="E104" s="156"/>
      <c r="F104" s="156"/>
      <c r="G104" s="156"/>
      <c r="H104" s="156"/>
      <c r="I104" s="156"/>
      <c r="J104" s="263"/>
      <c r="K104" s="156"/>
      <c r="L104" s="156"/>
      <c r="M104" s="156"/>
      <c r="N104" s="265"/>
      <c r="O104" s="265"/>
      <c r="P104" s="265"/>
      <c r="Q104" s="265"/>
      <c r="R104" s="266"/>
      <c r="S104" s="267"/>
      <c r="T104" s="268"/>
      <c r="U104" s="265"/>
      <c r="V104" s="264"/>
      <c r="W104" s="263"/>
      <c r="X104" s="266"/>
      <c r="Y104" s="266"/>
      <c r="Z104" s="266"/>
      <c r="AA104" s="266"/>
      <c r="AB104" s="266"/>
      <c r="AC104" s="250"/>
      <c r="AD104" s="267"/>
      <c r="AE104" s="267"/>
      <c r="AF104" s="264"/>
      <c r="AG104" s="267"/>
      <c r="AH104" s="266"/>
      <c r="AI104" s="265"/>
      <c r="AJ104" s="263"/>
      <c r="AK104" s="266"/>
      <c r="AL104" s="266"/>
      <c r="AM104" s="251"/>
    </row>
    <row r="105" spans="1:39" x14ac:dyDescent="0.3">
      <c r="A105" s="156"/>
      <c r="B105" s="156"/>
      <c r="C105" s="156"/>
      <c r="D105" s="156"/>
      <c r="E105" s="156"/>
      <c r="F105" s="156"/>
      <c r="G105" s="156"/>
      <c r="H105" s="156"/>
      <c r="I105" s="156"/>
      <c r="J105" s="263"/>
      <c r="K105" s="156"/>
      <c r="L105" s="156"/>
      <c r="M105" s="156"/>
      <c r="N105" s="265"/>
      <c r="O105" s="265"/>
      <c r="P105" s="265"/>
      <c r="Q105" s="265"/>
      <c r="R105" s="266"/>
      <c r="S105" s="267"/>
      <c r="T105" s="268"/>
      <c r="U105" s="265"/>
      <c r="V105" s="264"/>
      <c r="W105" s="263"/>
      <c r="X105" s="266"/>
      <c r="Y105" s="266"/>
      <c r="Z105" s="266"/>
      <c r="AA105" s="266"/>
      <c r="AB105" s="266"/>
      <c r="AC105" s="250"/>
      <c r="AD105" s="267"/>
      <c r="AE105" s="267"/>
      <c r="AF105" s="264"/>
      <c r="AG105" s="267"/>
      <c r="AH105" s="266"/>
      <c r="AI105" s="265"/>
      <c r="AJ105" s="263"/>
      <c r="AK105" s="266"/>
      <c r="AL105" s="266"/>
      <c r="AM105" s="251"/>
    </row>
    <row r="106" spans="1:39" x14ac:dyDescent="0.3">
      <c r="A106" s="156"/>
      <c r="B106" s="156"/>
      <c r="C106" s="156"/>
      <c r="D106" s="156"/>
      <c r="E106" s="156"/>
      <c r="F106" s="156"/>
      <c r="G106" s="156"/>
      <c r="H106" s="156"/>
      <c r="I106" s="156"/>
      <c r="J106" s="263"/>
      <c r="K106" s="156"/>
      <c r="L106" s="156"/>
      <c r="M106" s="156"/>
      <c r="N106" s="265"/>
      <c r="O106" s="265"/>
      <c r="P106" s="265"/>
      <c r="Q106" s="265"/>
      <c r="R106" s="266"/>
      <c r="S106" s="267"/>
      <c r="T106" s="268"/>
      <c r="U106" s="265"/>
      <c r="V106" s="264"/>
      <c r="W106" s="263"/>
      <c r="X106" s="266"/>
      <c r="Y106" s="266"/>
      <c r="Z106" s="266"/>
      <c r="AA106" s="266"/>
      <c r="AB106" s="266"/>
      <c r="AC106" s="250"/>
      <c r="AD106" s="267"/>
      <c r="AE106" s="267"/>
      <c r="AF106" s="264"/>
      <c r="AG106" s="267"/>
      <c r="AH106" s="266"/>
      <c r="AI106" s="265"/>
      <c r="AJ106" s="263"/>
      <c r="AK106" s="266"/>
      <c r="AL106" s="266"/>
      <c r="AM106" s="251"/>
    </row>
    <row r="107" spans="1:39" x14ac:dyDescent="0.3">
      <c r="A107" s="156"/>
      <c r="B107" s="156"/>
      <c r="C107" s="156"/>
      <c r="D107" s="156"/>
      <c r="E107" s="156"/>
      <c r="F107" s="156"/>
      <c r="G107" s="156"/>
      <c r="H107" s="156"/>
      <c r="I107" s="156"/>
      <c r="J107" s="263"/>
      <c r="K107" s="156"/>
      <c r="L107" s="156"/>
      <c r="M107" s="156"/>
      <c r="N107" s="265"/>
      <c r="O107" s="265"/>
      <c r="P107" s="265"/>
      <c r="Q107" s="265"/>
      <c r="R107" s="266"/>
      <c r="S107" s="267"/>
      <c r="T107" s="268"/>
      <c r="U107" s="265"/>
      <c r="V107" s="264"/>
      <c r="W107" s="263"/>
      <c r="X107" s="266"/>
      <c r="Y107" s="266"/>
      <c r="Z107" s="266"/>
      <c r="AA107" s="266"/>
      <c r="AB107" s="266"/>
      <c r="AC107" s="250"/>
      <c r="AD107" s="267"/>
      <c r="AE107" s="267"/>
      <c r="AF107" s="264"/>
      <c r="AG107" s="267"/>
      <c r="AH107" s="266"/>
      <c r="AI107" s="265"/>
      <c r="AJ107" s="263"/>
      <c r="AK107" s="266"/>
      <c r="AL107" s="266"/>
      <c r="AM107" s="251"/>
    </row>
    <row r="108" spans="1:39" x14ac:dyDescent="0.3">
      <c r="A108" s="156"/>
      <c r="B108" s="156"/>
      <c r="C108" s="156"/>
      <c r="D108" s="156"/>
      <c r="E108" s="156"/>
      <c r="F108" s="156"/>
      <c r="G108" s="156"/>
      <c r="H108" s="156"/>
      <c r="I108" s="156"/>
      <c r="J108" s="263"/>
      <c r="K108" s="264"/>
      <c r="L108" s="156"/>
      <c r="M108" s="156"/>
      <c r="N108" s="265"/>
      <c r="O108" s="265"/>
      <c r="P108" s="265"/>
      <c r="Q108" s="265"/>
      <c r="R108" s="266"/>
      <c r="S108" s="267"/>
      <c r="T108" s="268"/>
      <c r="U108" s="265"/>
      <c r="V108" s="264"/>
      <c r="W108" s="263"/>
      <c r="X108" s="266"/>
      <c r="Y108" s="266"/>
      <c r="Z108" s="266"/>
      <c r="AA108" s="266"/>
      <c r="AB108" s="266"/>
      <c r="AC108" s="250"/>
      <c r="AD108" s="267"/>
      <c r="AE108" s="267"/>
      <c r="AF108" s="264"/>
      <c r="AG108" s="267"/>
      <c r="AH108" s="266"/>
      <c r="AI108" s="265"/>
      <c r="AJ108" s="263"/>
      <c r="AK108" s="266"/>
      <c r="AL108" s="266"/>
      <c r="AM108" s="251"/>
    </row>
    <row r="109" spans="1:39" x14ac:dyDescent="0.3">
      <c r="A109" s="156"/>
      <c r="B109" s="156"/>
      <c r="C109" s="156"/>
      <c r="D109" s="156"/>
      <c r="E109" s="156"/>
      <c r="F109" s="156"/>
      <c r="G109" s="156"/>
      <c r="H109" s="156"/>
      <c r="I109" s="156"/>
      <c r="J109" s="263"/>
      <c r="K109" s="264"/>
      <c r="L109" s="156"/>
      <c r="M109" s="156"/>
      <c r="N109" s="265"/>
      <c r="O109" s="265"/>
      <c r="P109" s="265"/>
      <c r="Q109" s="265"/>
      <c r="R109" s="266"/>
      <c r="S109" s="267"/>
      <c r="T109" s="268"/>
      <c r="U109" s="265"/>
      <c r="V109" s="264"/>
      <c r="W109" s="263"/>
      <c r="X109" s="266"/>
      <c r="Y109" s="266"/>
      <c r="Z109" s="266"/>
      <c r="AA109" s="266"/>
      <c r="AB109" s="266"/>
      <c r="AC109" s="250"/>
      <c r="AD109" s="267"/>
      <c r="AE109" s="267"/>
      <c r="AF109" s="264"/>
      <c r="AG109" s="267"/>
      <c r="AH109" s="266"/>
      <c r="AI109" s="265"/>
      <c r="AJ109" s="263"/>
      <c r="AK109" s="266"/>
      <c r="AL109" s="266"/>
      <c r="AM109" s="251"/>
    </row>
    <row r="110" spans="1:39" x14ac:dyDescent="0.3">
      <c r="A110" s="156"/>
      <c r="B110" s="156"/>
      <c r="C110" s="156"/>
      <c r="D110" s="156"/>
      <c r="E110" s="156"/>
      <c r="F110" s="156"/>
      <c r="G110" s="156"/>
      <c r="H110" s="156"/>
      <c r="I110" s="156"/>
      <c r="J110" s="263"/>
      <c r="K110" s="264"/>
      <c r="L110" s="156"/>
      <c r="M110" s="156"/>
      <c r="N110" s="265"/>
      <c r="O110" s="265"/>
      <c r="P110" s="265"/>
      <c r="Q110" s="265"/>
      <c r="R110" s="266"/>
      <c r="S110" s="267"/>
      <c r="T110" s="268"/>
      <c r="U110" s="265"/>
      <c r="V110" s="264"/>
      <c r="W110" s="263"/>
      <c r="X110" s="266"/>
      <c r="Y110" s="266"/>
      <c r="Z110" s="266"/>
      <c r="AA110" s="266"/>
      <c r="AB110" s="266"/>
      <c r="AC110" s="250"/>
      <c r="AD110" s="267"/>
      <c r="AE110" s="267"/>
      <c r="AF110" s="264"/>
      <c r="AG110" s="267"/>
      <c r="AH110" s="266"/>
      <c r="AI110" s="265"/>
      <c r="AJ110" s="263"/>
      <c r="AK110" s="266"/>
      <c r="AL110" s="266"/>
      <c r="AM110" s="251"/>
    </row>
    <row r="111" spans="1:39" x14ac:dyDescent="0.3">
      <c r="A111" s="156"/>
      <c r="B111" s="156"/>
      <c r="C111" s="156"/>
      <c r="D111" s="156"/>
      <c r="E111" s="156"/>
      <c r="F111" s="156"/>
      <c r="G111" s="156"/>
      <c r="H111" s="156"/>
      <c r="I111" s="156"/>
      <c r="J111" s="263"/>
      <c r="K111" s="264"/>
      <c r="L111" s="156"/>
      <c r="M111" s="156"/>
      <c r="N111" s="265"/>
      <c r="O111" s="265"/>
      <c r="P111" s="265"/>
      <c r="Q111" s="265"/>
      <c r="R111" s="266"/>
      <c r="S111" s="267"/>
      <c r="T111" s="268"/>
      <c r="U111" s="265"/>
      <c r="V111" s="264"/>
      <c r="W111" s="263"/>
      <c r="X111" s="266"/>
      <c r="Y111" s="266"/>
      <c r="Z111" s="266"/>
      <c r="AA111" s="266"/>
      <c r="AB111" s="266"/>
      <c r="AC111" s="250"/>
      <c r="AD111" s="267"/>
      <c r="AE111" s="267"/>
      <c r="AF111" s="264"/>
      <c r="AG111" s="267"/>
      <c r="AH111" s="266"/>
      <c r="AI111" s="265"/>
      <c r="AJ111" s="263"/>
      <c r="AK111" s="266"/>
      <c r="AL111" s="266"/>
      <c r="AM111" s="251"/>
    </row>
    <row r="112" spans="1:39" x14ac:dyDescent="0.3">
      <c r="A112" s="156"/>
      <c r="B112" s="156"/>
      <c r="C112" s="156"/>
      <c r="D112" s="156"/>
      <c r="E112" s="156"/>
      <c r="F112" s="156"/>
      <c r="G112" s="156"/>
      <c r="H112" s="156"/>
      <c r="I112" s="156"/>
      <c r="J112" s="263"/>
      <c r="K112" s="264"/>
      <c r="L112" s="156"/>
      <c r="M112" s="156"/>
      <c r="N112" s="265"/>
      <c r="O112" s="265"/>
      <c r="P112" s="265"/>
      <c r="Q112" s="265"/>
      <c r="R112" s="266"/>
      <c r="S112" s="267"/>
      <c r="T112" s="268"/>
      <c r="U112" s="265"/>
      <c r="V112" s="264"/>
      <c r="W112" s="263"/>
      <c r="X112" s="266"/>
      <c r="Y112" s="266"/>
      <c r="Z112" s="266"/>
      <c r="AA112" s="266"/>
      <c r="AB112" s="266"/>
      <c r="AC112" s="250"/>
      <c r="AD112" s="267"/>
      <c r="AE112" s="267"/>
      <c r="AF112" s="264"/>
      <c r="AG112" s="267"/>
      <c r="AH112" s="266"/>
      <c r="AI112" s="265"/>
      <c r="AJ112" s="263"/>
      <c r="AK112" s="266"/>
      <c r="AL112" s="266"/>
      <c r="AM112" s="251"/>
    </row>
    <row r="113" spans="11:39" x14ac:dyDescent="0.3">
      <c r="K113" s="264"/>
      <c r="L113" s="156"/>
      <c r="M113" s="156"/>
      <c r="N113" s="265"/>
      <c r="O113" s="265"/>
      <c r="P113" s="265"/>
      <c r="Q113" s="265"/>
      <c r="R113" s="266"/>
      <c r="S113" s="267"/>
      <c r="T113" s="268"/>
      <c r="U113" s="265"/>
      <c r="V113" s="264"/>
      <c r="W113" s="263"/>
      <c r="X113" s="266"/>
      <c r="Y113" s="266"/>
      <c r="Z113" s="266"/>
      <c r="AA113" s="266"/>
      <c r="AB113" s="266"/>
      <c r="AC113" s="250"/>
      <c r="AD113" s="267"/>
      <c r="AE113" s="267"/>
      <c r="AF113" s="264"/>
      <c r="AG113" s="267"/>
      <c r="AH113" s="266"/>
      <c r="AI113" s="265"/>
      <c r="AJ113" s="263"/>
      <c r="AK113" s="266"/>
      <c r="AL113" s="266"/>
      <c r="AM113" s="251"/>
    </row>
    <row r="114" spans="11:39" x14ac:dyDescent="0.3">
      <c r="K114" s="264"/>
      <c r="L114" s="156"/>
      <c r="M114" s="156"/>
      <c r="N114" s="265"/>
      <c r="O114" s="265"/>
      <c r="P114" s="265"/>
      <c r="Q114" s="265"/>
      <c r="R114" s="266"/>
      <c r="S114" s="267"/>
      <c r="T114" s="268"/>
      <c r="U114" s="265"/>
      <c r="V114" s="264"/>
      <c r="W114" s="263"/>
      <c r="X114" s="266"/>
      <c r="Y114" s="266"/>
      <c r="Z114" s="266"/>
      <c r="AA114" s="266"/>
      <c r="AB114" s="266"/>
      <c r="AC114" s="250"/>
      <c r="AD114" s="267"/>
      <c r="AE114" s="267"/>
      <c r="AF114" s="264"/>
      <c r="AG114" s="267"/>
      <c r="AH114" s="266"/>
      <c r="AI114" s="265"/>
      <c r="AJ114" s="263"/>
      <c r="AK114" s="266"/>
      <c r="AL114" s="266"/>
      <c r="AM114" s="251"/>
    </row>
    <row r="115" spans="11:39" x14ac:dyDescent="0.3">
      <c r="K115" s="264"/>
      <c r="L115" s="156"/>
      <c r="M115" s="156"/>
      <c r="N115" s="265"/>
      <c r="O115" s="265"/>
      <c r="P115" s="265"/>
      <c r="Q115" s="265"/>
      <c r="R115" s="266"/>
      <c r="S115" s="267"/>
      <c r="T115" s="268"/>
      <c r="U115" s="265"/>
      <c r="V115" s="264"/>
      <c r="W115" s="263"/>
      <c r="X115" s="266"/>
      <c r="Y115" s="266"/>
      <c r="Z115" s="266"/>
      <c r="AA115" s="266"/>
      <c r="AB115" s="266"/>
      <c r="AC115" s="250"/>
      <c r="AD115" s="267"/>
      <c r="AE115" s="267"/>
      <c r="AF115" s="264"/>
      <c r="AG115" s="267"/>
      <c r="AH115" s="266"/>
      <c r="AI115" s="265"/>
      <c r="AJ115" s="263"/>
      <c r="AK115" s="266"/>
      <c r="AL115" s="266"/>
      <c r="AM115" s="251"/>
    </row>
    <row r="116" spans="11:39" x14ac:dyDescent="0.3">
      <c r="K116" s="264"/>
      <c r="L116" s="156"/>
      <c r="M116" s="156"/>
      <c r="N116" s="265"/>
      <c r="O116" s="265"/>
      <c r="P116" s="265"/>
      <c r="Q116" s="265"/>
      <c r="R116" s="266"/>
      <c r="S116" s="267"/>
      <c r="T116" s="268"/>
      <c r="U116" s="265"/>
      <c r="V116" s="264"/>
      <c r="W116" s="263"/>
      <c r="X116" s="266"/>
      <c r="Y116" s="266"/>
      <c r="Z116" s="266"/>
      <c r="AA116" s="266"/>
      <c r="AB116" s="266"/>
      <c r="AC116" s="250"/>
      <c r="AD116" s="267"/>
      <c r="AE116" s="267"/>
      <c r="AF116" s="264"/>
      <c r="AG116" s="267"/>
      <c r="AH116" s="266"/>
      <c r="AI116" s="265"/>
      <c r="AJ116" s="263"/>
      <c r="AK116" s="266"/>
      <c r="AL116" s="266"/>
      <c r="AM116" s="251"/>
    </row>
    <row r="117" spans="11:39" x14ac:dyDescent="0.3">
      <c r="K117" s="264"/>
      <c r="L117" s="156"/>
      <c r="M117" s="156"/>
      <c r="N117" s="265"/>
      <c r="O117" s="265"/>
      <c r="P117" s="265"/>
      <c r="Q117" s="265"/>
      <c r="R117" s="266"/>
      <c r="S117" s="267"/>
      <c r="T117" s="268"/>
      <c r="U117" s="265"/>
      <c r="V117" s="264"/>
      <c r="W117" s="263"/>
      <c r="X117" s="266"/>
      <c r="Y117" s="266"/>
      <c r="Z117" s="266"/>
      <c r="AA117" s="266"/>
      <c r="AB117" s="266"/>
      <c r="AC117" s="250"/>
      <c r="AD117" s="267"/>
      <c r="AE117" s="267"/>
      <c r="AF117" s="264"/>
      <c r="AG117" s="267"/>
      <c r="AH117" s="266"/>
      <c r="AI117" s="265"/>
      <c r="AJ117" s="263"/>
      <c r="AK117" s="266"/>
      <c r="AL117" s="266"/>
      <c r="AM117" s="251"/>
    </row>
    <row r="118" spans="11:39" x14ac:dyDescent="0.3">
      <c r="K118" s="264"/>
      <c r="L118" s="156"/>
      <c r="M118" s="156"/>
      <c r="N118" s="265"/>
      <c r="O118" s="265"/>
      <c r="P118" s="265"/>
      <c r="Q118" s="265"/>
      <c r="R118" s="266"/>
      <c r="S118" s="267"/>
      <c r="T118" s="268"/>
      <c r="U118" s="265"/>
      <c r="V118" s="264"/>
      <c r="W118" s="263"/>
      <c r="X118" s="266"/>
      <c r="Y118" s="266"/>
      <c r="Z118" s="266"/>
      <c r="AA118" s="266"/>
      <c r="AB118" s="266"/>
      <c r="AC118" s="250"/>
      <c r="AD118" s="267"/>
      <c r="AE118" s="267"/>
      <c r="AF118" s="264"/>
      <c r="AG118" s="267"/>
      <c r="AH118" s="266"/>
      <c r="AI118" s="265"/>
      <c r="AJ118" s="263"/>
      <c r="AK118" s="266"/>
      <c r="AL118" s="266"/>
      <c r="AM118" s="251"/>
    </row>
    <row r="119" spans="11:39" x14ac:dyDescent="0.3">
      <c r="K119" s="264"/>
      <c r="L119" s="156"/>
      <c r="M119" s="156"/>
      <c r="N119" s="265"/>
      <c r="O119" s="265"/>
      <c r="P119" s="265"/>
      <c r="Q119" s="265"/>
      <c r="R119" s="266"/>
      <c r="S119" s="267"/>
      <c r="T119" s="268"/>
      <c r="U119" s="265"/>
      <c r="V119" s="264"/>
      <c r="W119" s="263"/>
      <c r="X119" s="266"/>
      <c r="Y119" s="266"/>
      <c r="Z119" s="266"/>
      <c r="AA119" s="266"/>
      <c r="AB119" s="266"/>
      <c r="AC119" s="250"/>
      <c r="AD119" s="267"/>
      <c r="AE119" s="267"/>
      <c r="AF119" s="264"/>
      <c r="AG119" s="267"/>
      <c r="AH119" s="266"/>
      <c r="AI119" s="265"/>
      <c r="AJ119" s="263"/>
      <c r="AK119" s="266"/>
      <c r="AL119" s="266"/>
      <c r="AM119" s="251"/>
    </row>
    <row r="120" spans="11:39" x14ac:dyDescent="0.3">
      <c r="K120" s="264"/>
      <c r="L120" s="156"/>
      <c r="M120" s="156"/>
      <c r="N120" s="265"/>
      <c r="O120" s="265"/>
      <c r="P120" s="265"/>
      <c r="Q120" s="265"/>
      <c r="R120" s="266"/>
      <c r="S120" s="267"/>
      <c r="T120" s="268"/>
      <c r="U120" s="265"/>
      <c r="V120" s="264"/>
      <c r="W120" s="263"/>
      <c r="X120" s="266"/>
      <c r="Y120" s="266"/>
      <c r="Z120" s="266"/>
      <c r="AA120" s="266"/>
      <c r="AB120" s="266"/>
      <c r="AC120" s="250"/>
      <c r="AD120" s="267"/>
      <c r="AE120" s="267"/>
      <c r="AF120" s="264"/>
      <c r="AG120" s="267"/>
      <c r="AH120" s="266"/>
      <c r="AI120" s="265"/>
      <c r="AJ120" s="263"/>
      <c r="AK120" s="266"/>
      <c r="AL120" s="266"/>
      <c r="AM120" s="251"/>
    </row>
    <row r="121" spans="11:39" x14ac:dyDescent="0.3">
      <c r="K121" s="264"/>
      <c r="L121" s="156"/>
      <c r="M121" s="156"/>
      <c r="N121" s="265"/>
      <c r="O121" s="265"/>
      <c r="P121" s="265"/>
      <c r="Q121" s="265"/>
      <c r="R121" s="266"/>
      <c r="S121" s="267"/>
      <c r="T121" s="268"/>
      <c r="U121" s="265"/>
      <c r="V121" s="264"/>
      <c r="W121" s="263"/>
      <c r="X121" s="266"/>
      <c r="Y121" s="266"/>
      <c r="Z121" s="266"/>
      <c r="AA121" s="266"/>
      <c r="AB121" s="266"/>
      <c r="AC121" s="250"/>
      <c r="AD121" s="267"/>
      <c r="AE121" s="267"/>
      <c r="AF121" s="264"/>
      <c r="AG121" s="267"/>
      <c r="AH121" s="266"/>
      <c r="AI121" s="265"/>
      <c r="AJ121" s="263"/>
      <c r="AK121" s="266"/>
      <c r="AL121" s="266"/>
      <c r="AM121" s="251"/>
    </row>
    <row r="122" spans="11:39" x14ac:dyDescent="0.3">
      <c r="K122" s="264"/>
      <c r="L122" s="156"/>
      <c r="M122" s="156"/>
      <c r="N122" s="265"/>
      <c r="O122" s="265"/>
      <c r="P122" s="265"/>
      <c r="Q122" s="265"/>
      <c r="R122" s="266"/>
      <c r="S122" s="267"/>
      <c r="T122" s="268"/>
      <c r="U122" s="265"/>
      <c r="V122" s="264"/>
      <c r="W122" s="263"/>
      <c r="X122" s="266"/>
      <c r="Y122" s="266"/>
      <c r="Z122" s="266"/>
      <c r="AA122" s="266"/>
      <c r="AB122" s="266"/>
      <c r="AC122" s="250"/>
      <c r="AD122" s="267"/>
      <c r="AE122" s="267"/>
      <c r="AF122" s="264"/>
      <c r="AG122" s="267"/>
      <c r="AH122" s="266"/>
      <c r="AI122" s="265"/>
      <c r="AJ122" s="263"/>
      <c r="AK122" s="266"/>
      <c r="AL122" s="266"/>
      <c r="AM122" s="251"/>
    </row>
    <row r="123" spans="11:39" x14ac:dyDescent="0.3">
      <c r="K123" s="264"/>
      <c r="L123" s="156"/>
      <c r="M123" s="156"/>
      <c r="N123" s="265"/>
      <c r="O123" s="265"/>
      <c r="P123" s="265"/>
      <c r="Q123" s="265"/>
      <c r="R123" s="266"/>
      <c r="S123" s="267"/>
      <c r="T123" s="268"/>
      <c r="U123" s="265"/>
      <c r="V123" s="264"/>
      <c r="W123" s="263"/>
      <c r="X123" s="266"/>
      <c r="Y123" s="266"/>
      <c r="Z123" s="266"/>
      <c r="AA123" s="266"/>
      <c r="AB123" s="266"/>
      <c r="AC123" s="250"/>
      <c r="AD123" s="267"/>
      <c r="AE123" s="267"/>
      <c r="AF123" s="264"/>
      <c r="AG123" s="267"/>
      <c r="AH123" s="266"/>
      <c r="AI123" s="265"/>
      <c r="AJ123" s="263"/>
      <c r="AK123" s="266"/>
      <c r="AL123" s="266"/>
      <c r="AM123" s="251"/>
    </row>
    <row r="124" spans="11:39" x14ac:dyDescent="0.3">
      <c r="K124" s="264"/>
      <c r="L124" s="156"/>
      <c r="M124" s="156"/>
      <c r="N124" s="265"/>
      <c r="O124" s="265"/>
      <c r="P124" s="265"/>
      <c r="Q124" s="265"/>
      <c r="R124" s="266"/>
      <c r="S124" s="267"/>
      <c r="T124" s="268"/>
      <c r="U124" s="265"/>
      <c r="V124" s="264"/>
      <c r="W124" s="263"/>
      <c r="X124" s="266"/>
      <c r="Y124" s="266"/>
      <c r="Z124" s="266"/>
      <c r="AA124" s="266"/>
      <c r="AB124" s="266"/>
      <c r="AC124" s="250"/>
      <c r="AD124" s="267"/>
      <c r="AE124" s="267"/>
      <c r="AF124" s="264"/>
      <c r="AG124" s="267"/>
      <c r="AH124" s="266"/>
      <c r="AI124" s="265"/>
      <c r="AJ124" s="263"/>
      <c r="AK124" s="266"/>
      <c r="AL124" s="266"/>
      <c r="AM124" s="251"/>
    </row>
    <row r="125" spans="11:39" x14ac:dyDescent="0.3">
      <c r="K125" s="264"/>
      <c r="L125" s="156"/>
      <c r="M125" s="156"/>
      <c r="N125" s="265"/>
      <c r="O125" s="265"/>
      <c r="P125" s="265"/>
      <c r="Q125" s="265"/>
      <c r="R125" s="266"/>
      <c r="S125" s="267"/>
      <c r="T125" s="268"/>
      <c r="U125" s="265"/>
      <c r="V125" s="264"/>
      <c r="W125" s="263"/>
      <c r="X125" s="266"/>
      <c r="Y125" s="266"/>
      <c r="Z125" s="266"/>
      <c r="AA125" s="266"/>
      <c r="AB125" s="266"/>
      <c r="AC125" s="250"/>
      <c r="AD125" s="267"/>
      <c r="AE125" s="267"/>
      <c r="AF125" s="264"/>
      <c r="AG125" s="267"/>
      <c r="AH125" s="266"/>
      <c r="AI125" s="265"/>
      <c r="AJ125" s="263"/>
      <c r="AK125" s="266"/>
      <c r="AL125" s="266"/>
      <c r="AM125" s="251"/>
    </row>
    <row r="126" spans="11:39" x14ac:dyDescent="0.3">
      <c r="K126" s="264"/>
      <c r="L126" s="156"/>
      <c r="M126" s="156"/>
      <c r="N126" s="265"/>
      <c r="O126" s="265"/>
      <c r="P126" s="265"/>
      <c r="Q126" s="265"/>
      <c r="R126" s="266"/>
      <c r="S126" s="267"/>
      <c r="T126" s="268"/>
      <c r="U126" s="265"/>
      <c r="V126" s="264"/>
      <c r="W126" s="263"/>
      <c r="X126" s="266"/>
      <c r="Y126" s="266"/>
      <c r="Z126" s="266"/>
      <c r="AA126" s="266"/>
      <c r="AB126" s="266"/>
      <c r="AC126" s="250"/>
      <c r="AD126" s="267"/>
      <c r="AE126" s="267"/>
      <c r="AF126" s="264"/>
      <c r="AG126" s="267"/>
      <c r="AH126" s="266"/>
      <c r="AI126" s="265"/>
      <c r="AJ126" s="263"/>
      <c r="AK126" s="266"/>
      <c r="AL126" s="266"/>
      <c r="AM126" s="251"/>
    </row>
    <row r="127" spans="11:39" x14ac:dyDescent="0.3">
      <c r="K127" s="264"/>
      <c r="L127" s="156"/>
      <c r="M127" s="156"/>
      <c r="N127" s="265"/>
      <c r="O127" s="265"/>
      <c r="P127" s="265"/>
      <c r="Q127" s="265"/>
      <c r="R127" s="266"/>
      <c r="S127" s="267"/>
      <c r="T127" s="268"/>
      <c r="U127" s="265"/>
      <c r="V127" s="264"/>
      <c r="W127" s="263"/>
      <c r="X127" s="266"/>
      <c r="Y127" s="266"/>
      <c r="Z127" s="266"/>
      <c r="AA127" s="266"/>
      <c r="AB127" s="266"/>
      <c r="AC127" s="250"/>
      <c r="AD127" s="267"/>
      <c r="AE127" s="267"/>
      <c r="AF127" s="264"/>
      <c r="AG127" s="267"/>
      <c r="AH127" s="266"/>
      <c r="AI127" s="265"/>
      <c r="AJ127" s="263"/>
      <c r="AK127" s="266"/>
      <c r="AL127" s="266"/>
      <c r="AM127" s="251"/>
    </row>
    <row r="128" spans="11:39" x14ac:dyDescent="0.3">
      <c r="K128" s="264"/>
      <c r="L128" s="156"/>
      <c r="M128" s="156"/>
      <c r="N128" s="265"/>
      <c r="O128" s="265"/>
      <c r="P128" s="265"/>
      <c r="Q128" s="265"/>
      <c r="R128" s="266"/>
      <c r="S128" s="267"/>
      <c r="T128" s="268"/>
      <c r="U128" s="265"/>
      <c r="V128" s="264"/>
      <c r="W128" s="263"/>
      <c r="X128" s="266"/>
      <c r="Y128" s="266"/>
      <c r="Z128" s="266"/>
      <c r="AA128" s="266"/>
      <c r="AB128" s="266"/>
      <c r="AC128" s="250"/>
      <c r="AD128" s="267"/>
      <c r="AE128" s="267"/>
      <c r="AF128" s="264"/>
      <c r="AG128" s="267"/>
      <c r="AH128" s="266"/>
      <c r="AI128" s="265"/>
      <c r="AJ128" s="263"/>
      <c r="AK128" s="266"/>
      <c r="AL128" s="266"/>
      <c r="AM128" s="251"/>
    </row>
    <row r="129" spans="11:39" x14ac:dyDescent="0.3">
      <c r="K129" s="264"/>
      <c r="L129" s="156"/>
      <c r="M129" s="156"/>
      <c r="N129" s="265"/>
      <c r="O129" s="265"/>
      <c r="P129" s="265"/>
      <c r="Q129" s="265"/>
      <c r="R129" s="266"/>
      <c r="S129" s="267"/>
      <c r="T129" s="268"/>
      <c r="U129" s="265"/>
      <c r="V129" s="264"/>
      <c r="W129" s="263"/>
      <c r="X129" s="266"/>
      <c r="Y129" s="266"/>
      <c r="Z129" s="266"/>
      <c r="AA129" s="266"/>
      <c r="AB129" s="266"/>
      <c r="AC129" s="250"/>
      <c r="AD129" s="267"/>
      <c r="AE129" s="267"/>
      <c r="AF129" s="264"/>
      <c r="AG129" s="267"/>
      <c r="AH129" s="266"/>
      <c r="AI129" s="265"/>
      <c r="AJ129" s="263"/>
      <c r="AK129" s="266"/>
      <c r="AL129" s="266"/>
      <c r="AM129" s="251"/>
    </row>
    <row r="130" spans="11:39" x14ac:dyDescent="0.3">
      <c r="K130" s="264"/>
      <c r="L130" s="156"/>
      <c r="M130" s="156"/>
      <c r="N130" s="265"/>
      <c r="O130" s="265"/>
      <c r="P130" s="265"/>
      <c r="Q130" s="265"/>
      <c r="R130" s="266"/>
      <c r="S130" s="267"/>
      <c r="T130" s="268"/>
      <c r="U130" s="265"/>
      <c r="V130" s="264"/>
      <c r="W130" s="263"/>
      <c r="X130" s="266"/>
      <c r="Y130" s="266"/>
      <c r="Z130" s="266"/>
      <c r="AA130" s="266"/>
      <c r="AB130" s="266"/>
      <c r="AC130" s="250"/>
      <c r="AD130" s="267"/>
      <c r="AE130" s="267"/>
      <c r="AF130" s="264"/>
      <c r="AG130" s="267"/>
      <c r="AH130" s="266"/>
      <c r="AI130" s="265"/>
      <c r="AJ130" s="263"/>
      <c r="AK130" s="266"/>
      <c r="AL130" s="266"/>
      <c r="AM130" s="251"/>
    </row>
    <row r="131" spans="11:39" x14ac:dyDescent="0.3">
      <c r="K131" s="264"/>
      <c r="L131" s="156"/>
      <c r="M131" s="156"/>
      <c r="N131" s="265"/>
      <c r="O131" s="265"/>
      <c r="P131" s="265"/>
      <c r="Q131" s="265"/>
      <c r="R131" s="266"/>
      <c r="S131" s="267"/>
      <c r="T131" s="268"/>
      <c r="U131" s="265"/>
      <c r="V131" s="264"/>
      <c r="W131" s="263"/>
      <c r="X131" s="266"/>
      <c r="Y131" s="266"/>
      <c r="Z131" s="266"/>
      <c r="AA131" s="266"/>
      <c r="AB131" s="266"/>
      <c r="AC131" s="250"/>
      <c r="AD131" s="267"/>
      <c r="AE131" s="267"/>
      <c r="AF131" s="264"/>
      <c r="AG131" s="267"/>
      <c r="AH131" s="266"/>
      <c r="AI131" s="265"/>
      <c r="AJ131" s="263"/>
      <c r="AK131" s="266"/>
      <c r="AL131" s="266"/>
      <c r="AM131" s="251"/>
    </row>
    <row r="132" spans="11:39" x14ac:dyDescent="0.3">
      <c r="K132" s="264"/>
      <c r="L132" s="156"/>
      <c r="M132" s="156"/>
      <c r="N132" s="265"/>
      <c r="O132" s="265"/>
      <c r="P132" s="265"/>
      <c r="Q132" s="265"/>
      <c r="R132" s="266"/>
      <c r="S132" s="267"/>
      <c r="T132" s="268"/>
      <c r="U132" s="265"/>
      <c r="V132" s="264"/>
      <c r="W132" s="263"/>
      <c r="X132" s="266"/>
      <c r="Y132" s="266"/>
      <c r="Z132" s="266"/>
      <c r="AA132" s="266"/>
      <c r="AB132" s="266"/>
      <c r="AC132" s="250"/>
      <c r="AD132" s="267"/>
      <c r="AE132" s="267"/>
      <c r="AF132" s="264"/>
      <c r="AG132" s="267"/>
      <c r="AH132" s="266"/>
      <c r="AI132" s="265"/>
      <c r="AJ132" s="263"/>
      <c r="AK132" s="266"/>
      <c r="AL132" s="266"/>
      <c r="AM132" s="251"/>
    </row>
    <row r="133" spans="11:39" x14ac:dyDescent="0.3">
      <c r="K133" s="264"/>
      <c r="L133" s="156"/>
      <c r="M133" s="156"/>
      <c r="N133" s="265"/>
      <c r="O133" s="265"/>
      <c r="P133" s="265"/>
      <c r="Q133" s="265"/>
      <c r="R133" s="266"/>
      <c r="S133" s="267"/>
      <c r="T133" s="268"/>
      <c r="U133" s="265"/>
      <c r="V133" s="264"/>
      <c r="W133" s="263"/>
      <c r="X133" s="266"/>
      <c r="Y133" s="266"/>
      <c r="Z133" s="266"/>
      <c r="AA133" s="266"/>
      <c r="AB133" s="266"/>
      <c r="AC133" s="250"/>
      <c r="AD133" s="267"/>
      <c r="AE133" s="267"/>
      <c r="AF133" s="264"/>
      <c r="AG133" s="267"/>
      <c r="AH133" s="266"/>
      <c r="AI133" s="265"/>
      <c r="AJ133" s="263"/>
      <c r="AK133" s="266"/>
      <c r="AL133" s="266"/>
      <c r="AM133" s="251"/>
    </row>
    <row r="134" spans="11:39" x14ac:dyDescent="0.3">
      <c r="K134" s="264"/>
      <c r="L134" s="156"/>
      <c r="M134" s="156"/>
      <c r="N134" s="265"/>
      <c r="O134" s="265"/>
      <c r="P134" s="265"/>
      <c r="Q134" s="265"/>
      <c r="R134" s="266"/>
      <c r="S134" s="267"/>
      <c r="T134" s="268"/>
      <c r="U134" s="265"/>
      <c r="V134" s="264"/>
      <c r="W134" s="263"/>
      <c r="X134" s="266"/>
      <c r="Y134" s="266"/>
      <c r="Z134" s="266"/>
      <c r="AA134" s="266"/>
      <c r="AB134" s="266"/>
      <c r="AC134" s="250"/>
      <c r="AD134" s="267"/>
      <c r="AE134" s="267"/>
      <c r="AF134" s="264"/>
      <c r="AG134" s="267"/>
      <c r="AH134" s="266"/>
      <c r="AI134" s="265"/>
      <c r="AJ134" s="263"/>
      <c r="AK134" s="266"/>
      <c r="AL134" s="266"/>
      <c r="AM134" s="251"/>
    </row>
    <row r="135" spans="11:39" x14ac:dyDescent="0.3">
      <c r="K135" s="264"/>
      <c r="L135" s="156"/>
      <c r="M135" s="156"/>
      <c r="N135" s="265"/>
      <c r="O135" s="265"/>
      <c r="P135" s="265"/>
      <c r="Q135" s="265"/>
      <c r="R135" s="266"/>
      <c r="S135" s="267"/>
      <c r="T135" s="268"/>
      <c r="U135" s="265"/>
      <c r="V135" s="264"/>
      <c r="W135" s="263"/>
      <c r="X135" s="266"/>
      <c r="Y135" s="266"/>
      <c r="Z135" s="266"/>
      <c r="AA135" s="266"/>
      <c r="AB135" s="266"/>
      <c r="AC135" s="250"/>
      <c r="AD135" s="267"/>
      <c r="AE135" s="267"/>
      <c r="AF135" s="264"/>
      <c r="AG135" s="267"/>
      <c r="AH135" s="266"/>
      <c r="AI135" s="265"/>
      <c r="AJ135" s="263"/>
      <c r="AK135" s="266"/>
      <c r="AL135" s="266"/>
      <c r="AM135" s="251"/>
    </row>
    <row r="136" spans="11:39" x14ac:dyDescent="0.3">
      <c r="K136" s="264"/>
      <c r="L136" s="156"/>
      <c r="M136" s="156"/>
      <c r="N136" s="265"/>
      <c r="O136" s="265"/>
      <c r="P136" s="265"/>
      <c r="Q136" s="265"/>
      <c r="R136" s="266"/>
      <c r="S136" s="267"/>
      <c r="T136" s="268"/>
      <c r="U136" s="265"/>
      <c r="V136" s="264"/>
      <c r="W136" s="263"/>
      <c r="X136" s="266"/>
      <c r="Y136" s="266"/>
      <c r="Z136" s="266"/>
      <c r="AA136" s="266"/>
      <c r="AB136" s="266"/>
      <c r="AC136" s="250"/>
      <c r="AD136" s="267"/>
      <c r="AE136" s="267"/>
      <c r="AF136" s="264"/>
      <c r="AG136" s="267"/>
      <c r="AH136" s="266"/>
      <c r="AI136" s="265"/>
      <c r="AJ136" s="263"/>
      <c r="AK136" s="266"/>
      <c r="AL136" s="266"/>
      <c r="AM136" s="251"/>
    </row>
    <row r="137" spans="11:39" x14ac:dyDescent="0.3">
      <c r="K137" s="264"/>
      <c r="L137" s="156"/>
      <c r="M137" s="156"/>
      <c r="N137" s="265"/>
      <c r="O137" s="265"/>
      <c r="P137" s="265"/>
      <c r="Q137" s="265"/>
      <c r="R137" s="266"/>
      <c r="S137" s="267"/>
      <c r="T137" s="268"/>
      <c r="U137" s="265"/>
      <c r="V137" s="264"/>
      <c r="W137" s="263"/>
      <c r="X137" s="266"/>
      <c r="Y137" s="266"/>
      <c r="Z137" s="266"/>
      <c r="AA137" s="266"/>
      <c r="AB137" s="266"/>
      <c r="AC137" s="250"/>
      <c r="AD137" s="267"/>
      <c r="AE137" s="267"/>
      <c r="AF137" s="264"/>
      <c r="AG137" s="267"/>
      <c r="AH137" s="266"/>
      <c r="AI137" s="265"/>
      <c r="AJ137" s="263"/>
      <c r="AK137" s="266"/>
      <c r="AL137" s="266"/>
      <c r="AM137" s="251"/>
    </row>
    <row r="138" spans="11:39" x14ac:dyDescent="0.3">
      <c r="K138" s="264"/>
      <c r="L138" s="156"/>
      <c r="M138" s="156"/>
      <c r="N138" s="265"/>
      <c r="O138" s="265"/>
      <c r="P138" s="265"/>
      <c r="Q138" s="265"/>
      <c r="R138" s="266"/>
      <c r="S138" s="267"/>
      <c r="T138" s="268"/>
      <c r="U138" s="265"/>
      <c r="V138" s="264"/>
      <c r="W138" s="263"/>
      <c r="X138" s="266"/>
      <c r="Y138" s="266"/>
      <c r="Z138" s="266"/>
      <c r="AA138" s="266"/>
      <c r="AB138" s="266"/>
      <c r="AC138" s="250"/>
      <c r="AD138" s="267"/>
      <c r="AE138" s="267"/>
      <c r="AF138" s="264"/>
      <c r="AG138" s="267"/>
      <c r="AH138" s="266"/>
      <c r="AI138" s="265"/>
      <c r="AJ138" s="263"/>
      <c r="AK138" s="266"/>
      <c r="AL138" s="266"/>
      <c r="AM138" s="251"/>
    </row>
    <row r="139" spans="11:39" x14ac:dyDescent="0.3">
      <c r="K139" s="264"/>
      <c r="L139" s="156"/>
      <c r="M139" s="156"/>
      <c r="N139" s="265"/>
      <c r="O139" s="265"/>
      <c r="P139" s="265"/>
      <c r="Q139" s="265"/>
      <c r="R139" s="266"/>
      <c r="S139" s="267"/>
      <c r="T139" s="268"/>
      <c r="U139" s="265"/>
      <c r="V139" s="264"/>
      <c r="W139" s="263"/>
      <c r="X139" s="266"/>
      <c r="Y139" s="266"/>
      <c r="Z139" s="266"/>
      <c r="AA139" s="266"/>
      <c r="AB139" s="266"/>
      <c r="AC139" s="250"/>
      <c r="AD139" s="267"/>
      <c r="AE139" s="267"/>
      <c r="AF139" s="264"/>
      <c r="AG139" s="267"/>
      <c r="AH139" s="266"/>
      <c r="AI139" s="265"/>
      <c r="AJ139" s="263"/>
      <c r="AK139" s="266"/>
      <c r="AL139" s="266"/>
      <c r="AM139" s="251"/>
    </row>
    <row r="140" spans="11:39" x14ac:dyDescent="0.3">
      <c r="K140" s="264"/>
      <c r="L140" s="156"/>
      <c r="M140" s="156"/>
      <c r="N140" s="265"/>
      <c r="O140" s="265"/>
      <c r="P140" s="265"/>
      <c r="Q140" s="265"/>
      <c r="R140" s="266"/>
      <c r="S140" s="267"/>
      <c r="T140" s="268"/>
      <c r="U140" s="265"/>
      <c r="V140" s="264"/>
      <c r="W140" s="263"/>
      <c r="X140" s="266"/>
      <c r="Y140" s="266"/>
      <c r="Z140" s="266"/>
      <c r="AA140" s="266"/>
      <c r="AB140" s="266"/>
      <c r="AC140" s="250"/>
      <c r="AD140" s="267"/>
      <c r="AE140" s="267"/>
      <c r="AF140" s="264"/>
      <c r="AG140" s="267"/>
      <c r="AH140" s="266"/>
      <c r="AI140" s="265"/>
      <c r="AJ140" s="263"/>
      <c r="AK140" s="266"/>
      <c r="AL140" s="266"/>
      <c r="AM140" s="251"/>
    </row>
    <row r="141" spans="11:39" x14ac:dyDescent="0.3">
      <c r="K141" s="264"/>
      <c r="L141" s="156"/>
      <c r="M141" s="156"/>
      <c r="N141" s="265"/>
      <c r="O141" s="265"/>
      <c r="P141" s="265"/>
      <c r="Q141" s="265"/>
      <c r="R141" s="266"/>
      <c r="S141" s="267"/>
      <c r="T141" s="268"/>
      <c r="U141" s="265"/>
      <c r="V141" s="264"/>
      <c r="W141" s="263"/>
      <c r="X141" s="266"/>
      <c r="Y141" s="266"/>
      <c r="Z141" s="266"/>
      <c r="AA141" s="266"/>
      <c r="AB141" s="266"/>
      <c r="AC141" s="250"/>
      <c r="AD141" s="267"/>
      <c r="AE141" s="267"/>
      <c r="AF141" s="264"/>
      <c r="AG141" s="267"/>
      <c r="AH141" s="266"/>
      <c r="AI141" s="265"/>
      <c r="AJ141" s="263"/>
      <c r="AK141" s="266"/>
      <c r="AL141" s="266"/>
      <c r="AM141" s="251"/>
    </row>
    <row r="142" spans="11:39" x14ac:dyDescent="0.3">
      <c r="K142" s="264"/>
      <c r="L142" s="156"/>
      <c r="M142" s="156"/>
      <c r="N142" s="265"/>
      <c r="O142" s="265"/>
      <c r="P142" s="265"/>
      <c r="Q142" s="265"/>
      <c r="R142" s="266"/>
      <c r="S142" s="267"/>
      <c r="T142" s="268"/>
      <c r="U142" s="265"/>
      <c r="V142" s="264"/>
      <c r="W142" s="263"/>
      <c r="X142" s="266"/>
      <c r="Y142" s="266"/>
      <c r="Z142" s="266"/>
      <c r="AA142" s="266"/>
      <c r="AB142" s="266"/>
      <c r="AC142" s="250"/>
      <c r="AD142" s="267"/>
      <c r="AE142" s="267"/>
      <c r="AF142" s="264"/>
      <c r="AG142" s="267"/>
      <c r="AH142" s="266"/>
      <c r="AI142" s="265"/>
      <c r="AJ142" s="263"/>
      <c r="AK142" s="266"/>
      <c r="AL142" s="266"/>
      <c r="AM142" s="251"/>
    </row>
    <row r="143" spans="11:39" x14ac:dyDescent="0.3">
      <c r="K143" s="264"/>
      <c r="L143" s="156"/>
      <c r="M143" s="156"/>
      <c r="N143" s="265"/>
      <c r="O143" s="265"/>
      <c r="P143" s="265"/>
      <c r="Q143" s="265"/>
      <c r="R143" s="266"/>
      <c r="S143" s="267"/>
      <c r="T143" s="268"/>
      <c r="U143" s="265"/>
      <c r="V143" s="264"/>
      <c r="W143" s="263"/>
      <c r="X143" s="266"/>
      <c r="Y143" s="266"/>
      <c r="Z143" s="266"/>
      <c r="AA143" s="266"/>
      <c r="AB143" s="266"/>
      <c r="AC143" s="250"/>
      <c r="AD143" s="267"/>
      <c r="AE143" s="267"/>
      <c r="AF143" s="264"/>
      <c r="AG143" s="267"/>
      <c r="AH143" s="266"/>
      <c r="AI143" s="265"/>
      <c r="AJ143" s="263"/>
      <c r="AK143" s="266"/>
      <c r="AL143" s="266"/>
      <c r="AM143" s="251"/>
    </row>
    <row r="144" spans="11:39" x14ac:dyDescent="0.3">
      <c r="K144" s="264"/>
      <c r="L144" s="156"/>
      <c r="M144" s="156"/>
      <c r="N144" s="265"/>
      <c r="O144" s="265"/>
      <c r="P144" s="265"/>
      <c r="Q144" s="265"/>
      <c r="R144" s="266"/>
      <c r="S144" s="267"/>
      <c r="T144" s="268"/>
      <c r="U144" s="265"/>
      <c r="V144" s="264"/>
      <c r="W144" s="263"/>
      <c r="X144" s="266"/>
      <c r="Y144" s="266"/>
      <c r="Z144" s="266"/>
      <c r="AA144" s="266"/>
      <c r="AB144" s="266"/>
      <c r="AC144" s="250"/>
      <c r="AD144" s="267"/>
      <c r="AE144" s="267"/>
      <c r="AF144" s="264"/>
      <c r="AG144" s="267"/>
      <c r="AH144" s="266"/>
      <c r="AI144" s="265"/>
      <c r="AJ144" s="263"/>
      <c r="AK144" s="266"/>
      <c r="AL144" s="266"/>
      <c r="AM144" s="251"/>
    </row>
    <row r="145" spans="11:39" x14ac:dyDescent="0.3">
      <c r="K145" s="264"/>
      <c r="L145" s="156"/>
      <c r="M145" s="156"/>
      <c r="N145" s="265"/>
      <c r="O145" s="265"/>
      <c r="P145" s="265"/>
      <c r="Q145" s="265"/>
      <c r="R145" s="266"/>
      <c r="S145" s="267"/>
      <c r="T145" s="268"/>
      <c r="U145" s="265"/>
      <c r="V145" s="264"/>
      <c r="W145" s="263"/>
      <c r="X145" s="266"/>
      <c r="Y145" s="266"/>
      <c r="Z145" s="266"/>
      <c r="AA145" s="266"/>
      <c r="AB145" s="266"/>
      <c r="AC145" s="250"/>
      <c r="AD145" s="267"/>
      <c r="AE145" s="267"/>
      <c r="AF145" s="264"/>
      <c r="AG145" s="267"/>
      <c r="AH145" s="266"/>
      <c r="AI145" s="265"/>
      <c r="AJ145" s="263"/>
      <c r="AK145" s="266"/>
      <c r="AL145" s="266"/>
      <c r="AM145" s="251"/>
    </row>
    <row r="146" spans="11:39" x14ac:dyDescent="0.3">
      <c r="K146" s="264"/>
      <c r="L146" s="156"/>
      <c r="M146" s="156"/>
      <c r="N146" s="265"/>
      <c r="O146" s="265"/>
      <c r="P146" s="265"/>
      <c r="Q146" s="265"/>
      <c r="R146" s="266"/>
      <c r="S146" s="267"/>
      <c r="T146" s="268"/>
      <c r="U146" s="265"/>
      <c r="V146" s="264"/>
      <c r="W146" s="263"/>
      <c r="X146" s="266"/>
      <c r="Y146" s="266"/>
      <c r="Z146" s="266"/>
      <c r="AA146" s="266"/>
      <c r="AB146" s="266"/>
      <c r="AC146" s="250"/>
      <c r="AD146" s="267"/>
      <c r="AE146" s="267"/>
      <c r="AF146" s="264"/>
      <c r="AG146" s="267"/>
      <c r="AH146" s="266"/>
      <c r="AI146" s="265"/>
      <c r="AJ146" s="263"/>
      <c r="AK146" s="266"/>
      <c r="AL146" s="266"/>
      <c r="AM146" s="251"/>
    </row>
    <row r="147" spans="11:39" x14ac:dyDescent="0.3">
      <c r="K147" s="264"/>
      <c r="L147" s="156"/>
      <c r="M147" s="156"/>
      <c r="N147" s="265"/>
      <c r="O147" s="265"/>
      <c r="P147" s="265"/>
      <c r="Q147" s="265"/>
      <c r="R147" s="266"/>
      <c r="S147" s="267"/>
      <c r="T147" s="268"/>
      <c r="U147" s="265"/>
      <c r="V147" s="264"/>
      <c r="W147" s="263"/>
      <c r="X147" s="266"/>
      <c r="Y147" s="266"/>
      <c r="Z147" s="266"/>
      <c r="AA147" s="266"/>
      <c r="AB147" s="266"/>
      <c r="AC147" s="250"/>
      <c r="AD147" s="267"/>
      <c r="AE147" s="267"/>
      <c r="AF147" s="264"/>
      <c r="AG147" s="267"/>
      <c r="AH147" s="266"/>
      <c r="AI147" s="265"/>
      <c r="AJ147" s="263"/>
      <c r="AK147" s="266"/>
      <c r="AL147" s="266"/>
      <c r="AM147" s="251"/>
    </row>
    <row r="148" spans="11:39" x14ac:dyDescent="0.3">
      <c r="K148" s="264"/>
      <c r="L148" s="156"/>
      <c r="M148" s="156"/>
      <c r="N148" s="265"/>
      <c r="O148" s="265"/>
      <c r="P148" s="265"/>
      <c r="Q148" s="265"/>
      <c r="R148" s="266"/>
      <c r="S148" s="267"/>
      <c r="T148" s="268"/>
      <c r="U148" s="265"/>
      <c r="V148" s="264"/>
      <c r="W148" s="263"/>
      <c r="X148" s="266"/>
      <c r="Y148" s="266"/>
      <c r="Z148" s="266"/>
      <c r="AA148" s="266"/>
      <c r="AB148" s="266"/>
      <c r="AC148" s="250"/>
      <c r="AD148" s="267"/>
      <c r="AE148" s="267"/>
      <c r="AF148" s="264"/>
      <c r="AG148" s="267"/>
      <c r="AH148" s="266"/>
      <c r="AI148" s="265"/>
      <c r="AJ148" s="263"/>
      <c r="AK148" s="266"/>
      <c r="AL148" s="266"/>
      <c r="AM148" s="251"/>
    </row>
    <row r="149" spans="11:39" x14ac:dyDescent="0.3">
      <c r="K149" s="264"/>
      <c r="L149" s="156"/>
      <c r="M149" s="156"/>
      <c r="N149" s="265"/>
      <c r="O149" s="265"/>
      <c r="P149" s="265"/>
      <c r="Q149" s="265"/>
      <c r="R149" s="266"/>
      <c r="S149" s="267"/>
      <c r="T149" s="268"/>
      <c r="U149" s="265"/>
      <c r="V149" s="264"/>
      <c r="W149" s="263"/>
      <c r="X149" s="266"/>
      <c r="Y149" s="266"/>
      <c r="Z149" s="266"/>
      <c r="AA149" s="266"/>
      <c r="AB149" s="266"/>
      <c r="AC149" s="250"/>
      <c r="AD149" s="267"/>
      <c r="AE149" s="267"/>
      <c r="AF149" s="264"/>
      <c r="AG149" s="267"/>
      <c r="AH149" s="266"/>
      <c r="AI149" s="265"/>
      <c r="AJ149" s="263"/>
      <c r="AK149" s="266"/>
      <c r="AL149" s="266"/>
      <c r="AM149" s="251"/>
    </row>
    <row r="150" spans="11:39" x14ac:dyDescent="0.3">
      <c r="K150" s="264"/>
      <c r="L150" s="156"/>
      <c r="M150" s="156"/>
      <c r="N150" s="265"/>
      <c r="O150" s="265"/>
      <c r="P150" s="265"/>
      <c r="Q150" s="265"/>
      <c r="R150" s="266"/>
      <c r="S150" s="267"/>
      <c r="T150" s="268"/>
      <c r="U150" s="265"/>
      <c r="V150" s="264"/>
      <c r="W150" s="263"/>
      <c r="X150" s="266"/>
      <c r="Y150" s="266"/>
      <c r="Z150" s="266"/>
      <c r="AA150" s="266"/>
      <c r="AB150" s="266"/>
      <c r="AC150" s="250"/>
      <c r="AD150" s="267"/>
      <c r="AE150" s="267"/>
      <c r="AF150" s="264"/>
      <c r="AG150" s="267"/>
      <c r="AH150" s="266"/>
      <c r="AI150" s="265"/>
      <c r="AJ150" s="263"/>
      <c r="AK150" s="266"/>
      <c r="AL150" s="266"/>
      <c r="AM150" s="251"/>
    </row>
    <row r="151" spans="11:39" x14ac:dyDescent="0.3">
      <c r="K151" s="264"/>
      <c r="L151" s="156"/>
      <c r="M151" s="156"/>
      <c r="N151" s="265"/>
      <c r="O151" s="265"/>
      <c r="P151" s="265"/>
      <c r="Q151" s="265"/>
      <c r="R151" s="266"/>
      <c r="S151" s="267"/>
      <c r="T151" s="268"/>
      <c r="U151" s="265"/>
      <c r="V151" s="264"/>
      <c r="W151" s="263"/>
      <c r="X151" s="266"/>
      <c r="Y151" s="266"/>
      <c r="Z151" s="266"/>
      <c r="AA151" s="266"/>
      <c r="AB151" s="266"/>
      <c r="AC151" s="250"/>
      <c r="AD151" s="267"/>
      <c r="AE151" s="267"/>
      <c r="AF151" s="264"/>
      <c r="AG151" s="267"/>
      <c r="AH151" s="266"/>
      <c r="AI151" s="265"/>
      <c r="AJ151" s="263"/>
      <c r="AK151" s="266"/>
      <c r="AL151" s="266"/>
      <c r="AM151" s="251"/>
    </row>
    <row r="152" spans="11:39" x14ac:dyDescent="0.3">
      <c r="K152" s="264"/>
      <c r="L152" s="156"/>
      <c r="M152" s="156"/>
      <c r="N152" s="265"/>
      <c r="O152" s="265"/>
      <c r="P152" s="265"/>
      <c r="Q152" s="265"/>
      <c r="R152" s="266"/>
      <c r="S152" s="267"/>
      <c r="T152" s="268"/>
      <c r="U152" s="265"/>
      <c r="V152" s="264"/>
      <c r="W152" s="263"/>
      <c r="X152" s="266"/>
      <c r="Y152" s="266"/>
      <c r="Z152" s="266"/>
      <c r="AA152" s="266"/>
      <c r="AB152" s="266"/>
      <c r="AC152" s="250"/>
      <c r="AD152" s="267"/>
      <c r="AE152" s="267"/>
      <c r="AF152" s="264"/>
      <c r="AG152" s="267"/>
      <c r="AH152" s="266"/>
      <c r="AI152" s="265"/>
      <c r="AJ152" s="263"/>
      <c r="AK152" s="266"/>
      <c r="AL152" s="266"/>
      <c r="AM152" s="251"/>
    </row>
    <row r="153" spans="11:39" x14ac:dyDescent="0.3">
      <c r="K153" s="264"/>
      <c r="L153" s="156"/>
      <c r="M153" s="156"/>
      <c r="N153" s="265"/>
      <c r="O153" s="265"/>
      <c r="P153" s="265"/>
      <c r="Q153" s="265"/>
      <c r="R153" s="266"/>
      <c r="S153" s="267"/>
      <c r="T153" s="268"/>
      <c r="U153" s="265"/>
      <c r="V153" s="264"/>
      <c r="W153" s="263"/>
      <c r="X153" s="266"/>
      <c r="Y153" s="266"/>
      <c r="Z153" s="266"/>
      <c r="AA153" s="266"/>
      <c r="AB153" s="266"/>
      <c r="AC153" s="250"/>
      <c r="AD153" s="267"/>
      <c r="AE153" s="267"/>
      <c r="AF153" s="264"/>
      <c r="AG153" s="267"/>
      <c r="AH153" s="266"/>
      <c r="AI153" s="265"/>
      <c r="AJ153" s="263"/>
      <c r="AK153" s="266"/>
      <c r="AL153" s="266"/>
      <c r="AM153" s="251"/>
    </row>
    <row r="154" spans="11:39" x14ac:dyDescent="0.3">
      <c r="K154" s="264"/>
      <c r="L154" s="156"/>
      <c r="M154" s="156"/>
      <c r="N154" s="265"/>
      <c r="O154" s="265"/>
      <c r="P154" s="265"/>
      <c r="Q154" s="265"/>
      <c r="R154" s="266"/>
      <c r="S154" s="267"/>
      <c r="T154" s="268"/>
      <c r="U154" s="265"/>
      <c r="V154" s="264"/>
      <c r="W154" s="263"/>
      <c r="X154" s="266"/>
      <c r="Y154" s="266"/>
      <c r="Z154" s="266"/>
      <c r="AA154" s="266"/>
      <c r="AB154" s="266"/>
      <c r="AC154" s="250"/>
      <c r="AD154" s="267"/>
      <c r="AE154" s="267"/>
      <c r="AF154" s="264"/>
      <c r="AG154" s="267"/>
      <c r="AH154" s="266"/>
      <c r="AI154" s="265"/>
      <c r="AJ154" s="263"/>
      <c r="AK154" s="266"/>
      <c r="AL154" s="266"/>
      <c r="AM154" s="251"/>
    </row>
    <row r="155" spans="11:39" x14ac:dyDescent="0.3">
      <c r="K155" s="264"/>
      <c r="L155" s="156"/>
      <c r="M155" s="156"/>
      <c r="N155" s="265"/>
      <c r="O155" s="265"/>
      <c r="P155" s="265"/>
      <c r="Q155" s="265"/>
      <c r="R155" s="266"/>
      <c r="S155" s="267"/>
      <c r="T155" s="268"/>
      <c r="U155" s="265"/>
      <c r="V155" s="264"/>
      <c r="W155" s="263"/>
      <c r="X155" s="266"/>
      <c r="Y155" s="266"/>
      <c r="Z155" s="266"/>
      <c r="AA155" s="266"/>
      <c r="AB155" s="266"/>
      <c r="AC155" s="250"/>
      <c r="AD155" s="267"/>
      <c r="AE155" s="267"/>
      <c r="AF155" s="264"/>
      <c r="AG155" s="267"/>
      <c r="AH155" s="266"/>
      <c r="AI155" s="265"/>
      <c r="AJ155" s="263"/>
      <c r="AK155" s="266"/>
      <c r="AL155" s="266"/>
      <c r="AM155" s="251"/>
    </row>
    <row r="156" spans="11:39" x14ac:dyDescent="0.3">
      <c r="K156" s="264"/>
      <c r="L156" s="156"/>
      <c r="M156" s="156"/>
      <c r="N156" s="265"/>
      <c r="O156" s="265"/>
      <c r="P156" s="265"/>
      <c r="Q156" s="265"/>
      <c r="R156" s="266"/>
      <c r="S156" s="267"/>
      <c r="T156" s="268"/>
      <c r="U156" s="265"/>
      <c r="V156" s="264"/>
      <c r="W156" s="263"/>
      <c r="X156" s="266"/>
      <c r="Y156" s="266"/>
      <c r="Z156" s="266"/>
      <c r="AA156" s="266"/>
      <c r="AB156" s="266"/>
      <c r="AC156" s="250"/>
      <c r="AD156" s="267"/>
      <c r="AE156" s="267"/>
      <c r="AF156" s="264"/>
      <c r="AG156" s="267"/>
      <c r="AH156" s="266"/>
      <c r="AI156" s="265"/>
      <c r="AJ156" s="263"/>
      <c r="AK156" s="266"/>
      <c r="AL156" s="266"/>
      <c r="AM156" s="251"/>
    </row>
    <row r="157" spans="11:39" x14ac:dyDescent="0.3">
      <c r="K157" s="264"/>
      <c r="L157" s="156"/>
      <c r="M157" s="156"/>
      <c r="N157" s="265"/>
      <c r="O157" s="265"/>
      <c r="P157" s="265"/>
      <c r="Q157" s="265"/>
      <c r="R157" s="266"/>
      <c r="S157" s="267"/>
      <c r="T157" s="268"/>
      <c r="U157" s="265"/>
      <c r="V157" s="264"/>
      <c r="W157" s="263"/>
      <c r="X157" s="266"/>
      <c r="Y157" s="266"/>
      <c r="Z157" s="266"/>
      <c r="AA157" s="266"/>
      <c r="AB157" s="266"/>
      <c r="AC157" s="250"/>
      <c r="AD157" s="267"/>
      <c r="AE157" s="267"/>
      <c r="AF157" s="264"/>
      <c r="AG157" s="267"/>
      <c r="AH157" s="266"/>
      <c r="AI157" s="265"/>
      <c r="AJ157" s="263"/>
      <c r="AK157" s="266"/>
      <c r="AL157" s="266"/>
      <c r="AM157" s="251"/>
    </row>
    <row r="158" spans="11:39" x14ac:dyDescent="0.3">
      <c r="K158" s="264"/>
      <c r="L158" s="156"/>
      <c r="M158" s="156"/>
      <c r="N158" s="265"/>
      <c r="O158" s="265"/>
      <c r="P158" s="265"/>
      <c r="Q158" s="265"/>
      <c r="R158" s="266"/>
      <c r="S158" s="267"/>
      <c r="T158" s="268"/>
      <c r="U158" s="265"/>
      <c r="V158" s="264"/>
      <c r="W158" s="263"/>
      <c r="X158" s="266"/>
      <c r="Y158" s="266"/>
      <c r="Z158" s="266"/>
      <c r="AA158" s="266"/>
      <c r="AB158" s="266"/>
      <c r="AC158" s="250"/>
      <c r="AD158" s="267"/>
      <c r="AE158" s="267"/>
      <c r="AF158" s="264"/>
      <c r="AG158" s="267"/>
      <c r="AH158" s="266"/>
      <c r="AI158" s="265"/>
      <c r="AJ158" s="263"/>
      <c r="AK158" s="266"/>
      <c r="AL158" s="266"/>
      <c r="AM158" s="251"/>
    </row>
    <row r="159" spans="11:39" x14ac:dyDescent="0.3">
      <c r="K159" s="264"/>
      <c r="L159" s="156"/>
      <c r="M159" s="156"/>
      <c r="N159" s="265"/>
      <c r="O159" s="265"/>
      <c r="P159" s="265"/>
      <c r="Q159" s="265"/>
      <c r="R159" s="266"/>
      <c r="S159" s="267"/>
      <c r="T159" s="268"/>
      <c r="U159" s="265"/>
      <c r="V159" s="264"/>
      <c r="W159" s="263"/>
      <c r="X159" s="266"/>
      <c r="Y159" s="266"/>
      <c r="Z159" s="266"/>
      <c r="AA159" s="266"/>
      <c r="AB159" s="266"/>
      <c r="AC159" s="250"/>
      <c r="AD159" s="267"/>
      <c r="AE159" s="267"/>
      <c r="AF159" s="264"/>
      <c r="AG159" s="267"/>
      <c r="AH159" s="266"/>
      <c r="AI159" s="265"/>
      <c r="AJ159" s="263"/>
      <c r="AK159" s="266"/>
      <c r="AL159" s="266"/>
      <c r="AM159" s="251"/>
    </row>
    <row r="160" spans="11:39" x14ac:dyDescent="0.3">
      <c r="K160" s="264"/>
      <c r="L160" s="156"/>
      <c r="M160" s="156"/>
      <c r="N160" s="265"/>
      <c r="O160" s="265"/>
      <c r="P160" s="265"/>
      <c r="Q160" s="265"/>
      <c r="R160" s="266"/>
      <c r="S160" s="267"/>
      <c r="T160" s="268"/>
      <c r="U160" s="265"/>
      <c r="V160" s="264"/>
      <c r="W160" s="263"/>
      <c r="X160" s="266"/>
      <c r="Y160" s="266"/>
      <c r="Z160" s="266"/>
      <c r="AA160" s="266"/>
      <c r="AB160" s="266"/>
      <c r="AC160" s="250"/>
      <c r="AD160" s="267"/>
      <c r="AE160" s="267"/>
      <c r="AF160" s="264"/>
      <c r="AG160" s="267"/>
      <c r="AH160" s="266"/>
      <c r="AI160" s="265"/>
      <c r="AJ160" s="263"/>
      <c r="AK160" s="266"/>
      <c r="AL160" s="266"/>
      <c r="AM160" s="251"/>
    </row>
    <row r="161" spans="11:39" x14ac:dyDescent="0.3">
      <c r="K161" s="264"/>
      <c r="L161" s="156"/>
      <c r="M161" s="156"/>
      <c r="N161" s="265"/>
      <c r="O161" s="265"/>
      <c r="P161" s="265"/>
      <c r="Q161" s="265"/>
      <c r="R161" s="266"/>
      <c r="S161" s="267"/>
      <c r="T161" s="268"/>
      <c r="U161" s="265"/>
      <c r="V161" s="264"/>
      <c r="W161" s="263"/>
      <c r="X161" s="266"/>
      <c r="Y161" s="266"/>
      <c r="Z161" s="266"/>
      <c r="AA161" s="266"/>
      <c r="AB161" s="266"/>
      <c r="AC161" s="250"/>
      <c r="AD161" s="267"/>
      <c r="AE161" s="267"/>
      <c r="AF161" s="264"/>
      <c r="AG161" s="267"/>
      <c r="AH161" s="266"/>
      <c r="AI161" s="265"/>
      <c r="AJ161" s="263"/>
      <c r="AK161" s="266"/>
      <c r="AL161" s="266"/>
      <c r="AM161" s="251"/>
    </row>
    <row r="162" spans="11:39" x14ac:dyDescent="0.3">
      <c r="K162" s="264"/>
      <c r="L162" s="156"/>
      <c r="M162" s="156"/>
      <c r="N162" s="265"/>
      <c r="O162" s="265"/>
      <c r="P162" s="265"/>
      <c r="Q162" s="265"/>
      <c r="R162" s="266"/>
      <c r="S162" s="267"/>
      <c r="T162" s="268"/>
      <c r="U162" s="265"/>
      <c r="V162" s="264"/>
      <c r="W162" s="263"/>
      <c r="X162" s="266"/>
      <c r="Y162" s="266"/>
      <c r="Z162" s="266"/>
      <c r="AA162" s="266"/>
      <c r="AB162" s="266"/>
      <c r="AC162" s="250"/>
      <c r="AD162" s="267"/>
      <c r="AE162" s="267"/>
      <c r="AF162" s="264"/>
      <c r="AG162" s="267"/>
      <c r="AH162" s="266"/>
      <c r="AI162" s="265"/>
      <c r="AJ162" s="263"/>
      <c r="AK162" s="266"/>
      <c r="AL162" s="266"/>
      <c r="AM162" s="251"/>
    </row>
    <row r="163" spans="11:39" x14ac:dyDescent="0.3">
      <c r="K163" s="264"/>
      <c r="L163" s="156"/>
      <c r="M163" s="156"/>
      <c r="N163" s="265"/>
      <c r="O163" s="265"/>
      <c r="P163" s="265"/>
      <c r="Q163" s="265"/>
      <c r="R163" s="266"/>
      <c r="S163" s="267"/>
      <c r="T163" s="268"/>
      <c r="U163" s="265"/>
      <c r="V163" s="264"/>
      <c r="W163" s="263"/>
      <c r="X163" s="266"/>
      <c r="Y163" s="266"/>
      <c r="Z163" s="266"/>
      <c r="AA163" s="266"/>
      <c r="AB163" s="266"/>
      <c r="AC163" s="250"/>
      <c r="AD163" s="267"/>
      <c r="AE163" s="267"/>
      <c r="AF163" s="264"/>
      <c r="AG163" s="267"/>
      <c r="AH163" s="266"/>
      <c r="AI163" s="265"/>
      <c r="AJ163" s="263"/>
      <c r="AK163" s="266"/>
      <c r="AL163" s="266"/>
      <c r="AM163" s="251"/>
    </row>
    <row r="164" spans="11:39" x14ac:dyDescent="0.3">
      <c r="K164" s="264"/>
      <c r="L164" s="156"/>
      <c r="M164" s="156"/>
      <c r="N164" s="265"/>
      <c r="O164" s="265"/>
      <c r="P164" s="265"/>
      <c r="Q164" s="265"/>
      <c r="R164" s="266"/>
      <c r="S164" s="267"/>
      <c r="T164" s="268"/>
      <c r="U164" s="265"/>
      <c r="V164" s="264"/>
      <c r="W164" s="263"/>
      <c r="X164" s="266"/>
      <c r="Y164" s="266"/>
      <c r="Z164" s="266"/>
      <c r="AA164" s="266"/>
      <c r="AB164" s="266"/>
      <c r="AC164" s="250"/>
      <c r="AD164" s="267"/>
      <c r="AE164" s="267"/>
      <c r="AF164" s="264"/>
      <c r="AG164" s="267"/>
      <c r="AH164" s="266"/>
      <c r="AI164" s="265"/>
      <c r="AJ164" s="263"/>
      <c r="AK164" s="266"/>
      <c r="AL164" s="266"/>
      <c r="AM164" s="251"/>
    </row>
    <row r="165" spans="11:39" x14ac:dyDescent="0.3">
      <c r="K165" s="264"/>
      <c r="L165" s="156"/>
      <c r="M165" s="156"/>
      <c r="N165" s="265"/>
      <c r="O165" s="265"/>
      <c r="P165" s="265"/>
      <c r="Q165" s="265"/>
      <c r="R165" s="266"/>
      <c r="S165" s="267"/>
      <c r="T165" s="268"/>
      <c r="U165" s="265"/>
      <c r="V165" s="264"/>
      <c r="W165" s="263"/>
      <c r="X165" s="266"/>
      <c r="Y165" s="266"/>
      <c r="Z165" s="266"/>
      <c r="AA165" s="266"/>
      <c r="AB165" s="266"/>
      <c r="AC165" s="250"/>
      <c r="AD165" s="267"/>
      <c r="AE165" s="267"/>
      <c r="AF165" s="264"/>
      <c r="AG165" s="267"/>
      <c r="AH165" s="266"/>
      <c r="AI165" s="265"/>
      <c r="AJ165" s="263"/>
      <c r="AK165" s="266"/>
      <c r="AL165" s="266"/>
      <c r="AM165" s="251"/>
    </row>
    <row r="166" spans="11:39" x14ac:dyDescent="0.3">
      <c r="K166" s="264"/>
      <c r="L166" s="156"/>
      <c r="M166" s="156"/>
      <c r="N166" s="265"/>
      <c r="O166" s="265"/>
      <c r="P166" s="265"/>
      <c r="Q166" s="265"/>
      <c r="R166" s="266"/>
      <c r="S166" s="267"/>
      <c r="T166" s="268"/>
      <c r="U166" s="265"/>
      <c r="V166" s="264"/>
      <c r="W166" s="263"/>
      <c r="X166" s="266"/>
      <c r="Y166" s="266"/>
      <c r="Z166" s="266"/>
      <c r="AA166" s="266"/>
      <c r="AB166" s="266"/>
      <c r="AC166" s="250"/>
      <c r="AD166" s="267"/>
      <c r="AE166" s="267"/>
      <c r="AF166" s="264"/>
      <c r="AG166" s="267"/>
      <c r="AH166" s="266"/>
      <c r="AI166" s="265"/>
      <c r="AJ166" s="263"/>
      <c r="AK166" s="266"/>
      <c r="AL166" s="266"/>
      <c r="AM166" s="251"/>
    </row>
    <row r="167" spans="11:39" x14ac:dyDescent="0.3">
      <c r="K167" s="264"/>
      <c r="L167" s="156"/>
      <c r="M167" s="156"/>
      <c r="N167" s="265"/>
      <c r="O167" s="265"/>
      <c r="P167" s="265"/>
      <c r="Q167" s="265"/>
      <c r="R167" s="266"/>
      <c r="S167" s="267"/>
      <c r="T167" s="268"/>
      <c r="U167" s="265"/>
      <c r="V167" s="264"/>
      <c r="W167" s="263"/>
      <c r="X167" s="266"/>
      <c r="Y167" s="266"/>
      <c r="Z167" s="266"/>
      <c r="AA167" s="266"/>
      <c r="AB167" s="266"/>
      <c r="AC167" s="250"/>
      <c r="AD167" s="267"/>
      <c r="AE167" s="267"/>
      <c r="AF167" s="264"/>
      <c r="AG167" s="267"/>
      <c r="AH167" s="266"/>
      <c r="AI167" s="265"/>
      <c r="AJ167" s="263"/>
      <c r="AK167" s="266"/>
      <c r="AL167" s="266"/>
      <c r="AM167" s="251"/>
    </row>
    <row r="168" spans="11:39" x14ac:dyDescent="0.3">
      <c r="K168" s="264"/>
      <c r="L168" s="156"/>
      <c r="M168" s="156"/>
      <c r="N168" s="265"/>
      <c r="O168" s="265"/>
      <c r="P168" s="265"/>
      <c r="Q168" s="265"/>
      <c r="R168" s="266"/>
      <c r="S168" s="267"/>
      <c r="T168" s="268"/>
      <c r="U168" s="265"/>
      <c r="V168" s="264"/>
      <c r="W168" s="263"/>
      <c r="X168" s="266"/>
      <c r="Y168" s="266"/>
      <c r="Z168" s="266"/>
      <c r="AA168" s="266"/>
      <c r="AB168" s="266"/>
      <c r="AC168" s="250"/>
      <c r="AD168" s="267"/>
      <c r="AE168" s="267"/>
      <c r="AF168" s="264"/>
      <c r="AG168" s="267"/>
      <c r="AH168" s="266"/>
      <c r="AI168" s="265"/>
      <c r="AJ168" s="263"/>
      <c r="AK168" s="266"/>
      <c r="AL168" s="266"/>
      <c r="AM168" s="251"/>
    </row>
    <row r="169" spans="11:39" x14ac:dyDescent="0.3">
      <c r="K169" s="264"/>
      <c r="L169" s="156"/>
      <c r="M169" s="156"/>
      <c r="N169" s="265"/>
      <c r="O169" s="265"/>
      <c r="P169" s="265"/>
      <c r="Q169" s="265"/>
      <c r="R169" s="266"/>
      <c r="S169" s="267"/>
      <c r="T169" s="268"/>
      <c r="U169" s="265"/>
      <c r="V169" s="264"/>
      <c r="W169" s="263"/>
      <c r="X169" s="266"/>
      <c r="Y169" s="266"/>
      <c r="Z169" s="266"/>
      <c r="AA169" s="266"/>
      <c r="AB169" s="266"/>
      <c r="AC169" s="250"/>
      <c r="AD169" s="267"/>
      <c r="AE169" s="267"/>
      <c r="AF169" s="264"/>
      <c r="AG169" s="267"/>
      <c r="AH169" s="266"/>
      <c r="AI169" s="265"/>
      <c r="AJ169" s="263"/>
      <c r="AK169" s="266"/>
      <c r="AL169" s="266"/>
      <c r="AM169" s="251"/>
    </row>
    <row r="170" spans="11:39" x14ac:dyDescent="0.3">
      <c r="K170" s="264"/>
      <c r="L170" s="156"/>
      <c r="M170" s="156"/>
      <c r="N170" s="265"/>
      <c r="O170" s="265"/>
      <c r="P170" s="265"/>
      <c r="Q170" s="265"/>
      <c r="R170" s="266"/>
      <c r="S170" s="267"/>
      <c r="T170" s="268"/>
      <c r="U170" s="265"/>
      <c r="V170" s="264"/>
      <c r="W170" s="263"/>
      <c r="X170" s="266"/>
      <c r="Y170" s="266"/>
      <c r="Z170" s="266"/>
      <c r="AA170" s="266"/>
      <c r="AB170" s="266"/>
      <c r="AC170" s="250"/>
      <c r="AD170" s="267"/>
      <c r="AE170" s="267"/>
      <c r="AF170" s="264"/>
      <c r="AG170" s="267"/>
      <c r="AH170" s="266"/>
      <c r="AI170" s="265"/>
      <c r="AJ170" s="263"/>
      <c r="AK170" s="266"/>
      <c r="AL170" s="266"/>
      <c r="AM170" s="251"/>
    </row>
    <row r="171" spans="11:39" x14ac:dyDescent="0.3">
      <c r="K171" s="264"/>
      <c r="L171" s="156"/>
      <c r="M171" s="156"/>
      <c r="N171" s="265"/>
      <c r="O171" s="265"/>
      <c r="P171" s="265"/>
      <c r="Q171" s="265"/>
      <c r="R171" s="266"/>
      <c r="S171" s="267"/>
      <c r="T171" s="268"/>
      <c r="U171" s="265"/>
      <c r="V171" s="264"/>
      <c r="W171" s="263"/>
      <c r="X171" s="266"/>
      <c r="Y171" s="266"/>
      <c r="Z171" s="266"/>
      <c r="AA171" s="266"/>
      <c r="AB171" s="266"/>
      <c r="AC171" s="250"/>
      <c r="AD171" s="267"/>
      <c r="AE171" s="267"/>
      <c r="AF171" s="264"/>
      <c r="AG171" s="267"/>
      <c r="AH171" s="266"/>
      <c r="AI171" s="265"/>
      <c r="AJ171" s="263"/>
      <c r="AK171" s="266"/>
      <c r="AL171" s="266"/>
      <c r="AM171" s="251"/>
    </row>
    <row r="172" spans="11:39" x14ac:dyDescent="0.3">
      <c r="K172" s="264"/>
      <c r="L172" s="156"/>
      <c r="M172" s="156"/>
      <c r="N172" s="265"/>
      <c r="O172" s="265"/>
      <c r="P172" s="265"/>
      <c r="Q172" s="265"/>
      <c r="R172" s="266"/>
      <c r="S172" s="267"/>
      <c r="T172" s="268"/>
      <c r="U172" s="265"/>
      <c r="V172" s="264"/>
      <c r="W172" s="263"/>
      <c r="X172" s="266"/>
      <c r="Y172" s="266"/>
      <c r="Z172" s="266"/>
      <c r="AA172" s="266"/>
      <c r="AB172" s="266"/>
      <c r="AC172" s="250"/>
      <c r="AD172" s="267"/>
      <c r="AE172" s="267"/>
      <c r="AF172" s="264"/>
      <c r="AG172" s="267"/>
      <c r="AH172" s="266"/>
      <c r="AI172" s="265"/>
      <c r="AJ172" s="263"/>
      <c r="AK172" s="266"/>
      <c r="AL172" s="266"/>
      <c r="AM172" s="251"/>
    </row>
    <row r="173" spans="11:39" x14ac:dyDescent="0.3">
      <c r="K173" s="264"/>
      <c r="L173" s="156"/>
      <c r="M173" s="156"/>
      <c r="N173" s="265"/>
      <c r="O173" s="265"/>
      <c r="P173" s="265"/>
      <c r="Q173" s="265"/>
      <c r="R173" s="266"/>
      <c r="S173" s="267"/>
      <c r="T173" s="268"/>
      <c r="U173" s="265"/>
      <c r="V173" s="264"/>
      <c r="W173" s="263"/>
      <c r="X173" s="266"/>
      <c r="Y173" s="266"/>
      <c r="Z173" s="266"/>
      <c r="AA173" s="266"/>
      <c r="AB173" s="266"/>
      <c r="AC173" s="250"/>
      <c r="AD173" s="267"/>
      <c r="AE173" s="267"/>
      <c r="AF173" s="264"/>
      <c r="AG173" s="267"/>
      <c r="AH173" s="266"/>
      <c r="AI173" s="265"/>
      <c r="AJ173" s="263"/>
      <c r="AK173" s="266"/>
      <c r="AL173" s="266"/>
      <c r="AM173" s="251"/>
    </row>
    <row r="174" spans="11:39" x14ac:dyDescent="0.3">
      <c r="K174" s="264"/>
      <c r="L174" s="156"/>
      <c r="M174" s="156"/>
      <c r="N174" s="265"/>
      <c r="O174" s="265"/>
      <c r="P174" s="265"/>
      <c r="Q174" s="265"/>
      <c r="R174" s="266"/>
      <c r="S174" s="267"/>
      <c r="T174" s="268"/>
      <c r="U174" s="265"/>
      <c r="V174" s="264"/>
      <c r="W174" s="263"/>
      <c r="X174" s="266"/>
      <c r="Y174" s="266"/>
      <c r="Z174" s="266"/>
      <c r="AA174" s="266"/>
      <c r="AB174" s="266"/>
      <c r="AC174" s="250"/>
      <c r="AD174" s="267"/>
      <c r="AE174" s="267"/>
      <c r="AF174" s="264"/>
      <c r="AG174" s="267"/>
      <c r="AH174" s="266"/>
      <c r="AI174" s="265"/>
      <c r="AJ174" s="263"/>
      <c r="AK174" s="266"/>
      <c r="AL174" s="266"/>
      <c r="AM174" s="251"/>
    </row>
    <row r="175" spans="11:39" x14ac:dyDescent="0.3">
      <c r="K175" s="264"/>
      <c r="L175" s="156"/>
      <c r="M175" s="156"/>
      <c r="N175" s="265"/>
      <c r="O175" s="265"/>
      <c r="P175" s="265"/>
      <c r="Q175" s="265"/>
      <c r="R175" s="266"/>
      <c r="S175" s="267"/>
      <c r="T175" s="268"/>
      <c r="U175" s="265"/>
      <c r="V175" s="264"/>
      <c r="W175" s="263"/>
      <c r="X175" s="266"/>
      <c r="Y175" s="266"/>
      <c r="Z175" s="266"/>
      <c r="AA175" s="266"/>
      <c r="AB175" s="266"/>
      <c r="AC175" s="250"/>
      <c r="AD175" s="267"/>
      <c r="AE175" s="267"/>
      <c r="AF175" s="264"/>
      <c r="AG175" s="267"/>
      <c r="AH175" s="266"/>
      <c r="AI175" s="265"/>
      <c r="AJ175" s="263"/>
      <c r="AK175" s="266"/>
      <c r="AL175" s="266"/>
      <c r="AM175" s="251"/>
    </row>
    <row r="176" spans="11:39" x14ac:dyDescent="0.3">
      <c r="K176" s="156"/>
      <c r="L176" s="156"/>
      <c r="M176" s="156"/>
      <c r="N176" s="265"/>
      <c r="O176" s="265"/>
      <c r="P176" s="265"/>
      <c r="Q176" s="265"/>
      <c r="R176" s="266"/>
      <c r="S176" s="267"/>
      <c r="T176" s="268"/>
      <c r="U176" s="265"/>
      <c r="V176" s="264"/>
      <c r="W176" s="263"/>
      <c r="X176" s="266"/>
      <c r="Y176" s="266"/>
      <c r="Z176" s="266"/>
      <c r="AA176" s="266"/>
      <c r="AB176" s="266"/>
      <c r="AC176" s="250"/>
      <c r="AD176" s="267"/>
      <c r="AE176" s="267"/>
      <c r="AF176" s="264"/>
      <c r="AG176" s="267"/>
      <c r="AH176" s="266"/>
      <c r="AI176" s="265"/>
      <c r="AJ176" s="263"/>
      <c r="AK176" s="266"/>
      <c r="AL176" s="266"/>
      <c r="AM176" s="251"/>
    </row>
    <row r="177" spans="11:39" x14ac:dyDescent="0.3">
      <c r="K177" s="264"/>
      <c r="L177" s="156"/>
      <c r="M177" s="156"/>
      <c r="N177" s="265"/>
      <c r="O177" s="265"/>
      <c r="P177" s="265"/>
      <c r="Q177" s="265"/>
      <c r="R177" s="266"/>
      <c r="S177" s="267"/>
      <c r="T177" s="268"/>
      <c r="U177" s="265"/>
      <c r="V177" s="264"/>
      <c r="W177" s="263"/>
      <c r="X177" s="266"/>
      <c r="Y177" s="266"/>
      <c r="Z177" s="266"/>
      <c r="AA177" s="266"/>
      <c r="AB177" s="266"/>
      <c r="AC177" s="250"/>
      <c r="AD177" s="267"/>
      <c r="AE177" s="267"/>
      <c r="AF177" s="264"/>
      <c r="AG177" s="267"/>
      <c r="AH177" s="266"/>
      <c r="AI177" s="265"/>
      <c r="AJ177" s="263"/>
      <c r="AK177" s="266"/>
      <c r="AL177" s="266"/>
      <c r="AM177" s="251"/>
    </row>
    <row r="178" spans="11:39" x14ac:dyDescent="0.3">
      <c r="K178" s="264"/>
      <c r="L178" s="156"/>
      <c r="M178" s="156"/>
      <c r="N178" s="265"/>
      <c r="O178" s="265"/>
      <c r="P178" s="265"/>
      <c r="Q178" s="265"/>
      <c r="R178" s="266"/>
      <c r="S178" s="267"/>
      <c r="T178" s="268"/>
      <c r="U178" s="265"/>
      <c r="V178" s="264"/>
      <c r="W178" s="263"/>
      <c r="X178" s="266"/>
      <c r="Y178" s="266"/>
      <c r="Z178" s="266"/>
      <c r="AA178" s="266"/>
      <c r="AB178" s="266"/>
      <c r="AC178" s="250"/>
      <c r="AD178" s="267"/>
      <c r="AE178" s="267"/>
      <c r="AF178" s="264"/>
      <c r="AG178" s="267"/>
      <c r="AH178" s="266"/>
      <c r="AI178" s="265"/>
      <c r="AJ178" s="263"/>
      <c r="AK178" s="266"/>
      <c r="AL178" s="266"/>
      <c r="AM178" s="251"/>
    </row>
    <row r="179" spans="11:39" x14ac:dyDescent="0.3">
      <c r="K179" s="264"/>
      <c r="L179" s="156"/>
      <c r="M179" s="156"/>
      <c r="N179" s="265"/>
      <c r="O179" s="265"/>
      <c r="P179" s="265"/>
      <c r="Q179" s="265"/>
      <c r="R179" s="266"/>
      <c r="S179" s="267"/>
      <c r="T179" s="268"/>
      <c r="U179" s="265"/>
      <c r="V179" s="264"/>
      <c r="W179" s="263"/>
      <c r="X179" s="266"/>
      <c r="Y179" s="266"/>
      <c r="Z179" s="266"/>
      <c r="AA179" s="266"/>
      <c r="AB179" s="266"/>
      <c r="AC179" s="250"/>
      <c r="AD179" s="267"/>
      <c r="AE179" s="267"/>
      <c r="AF179" s="264"/>
      <c r="AG179" s="267"/>
      <c r="AH179" s="266"/>
      <c r="AI179" s="265"/>
      <c r="AJ179" s="263"/>
      <c r="AK179" s="266"/>
      <c r="AL179" s="266"/>
      <c r="AM179" s="251"/>
    </row>
    <row r="180" spans="11:39" x14ac:dyDescent="0.3">
      <c r="K180" s="264"/>
      <c r="L180" s="156"/>
      <c r="M180" s="156"/>
      <c r="N180" s="265"/>
      <c r="O180" s="265"/>
      <c r="P180" s="265"/>
      <c r="Q180" s="265"/>
      <c r="R180" s="266"/>
      <c r="S180" s="267"/>
      <c r="T180" s="268"/>
      <c r="U180" s="265"/>
      <c r="V180" s="264"/>
      <c r="W180" s="263"/>
      <c r="X180" s="266"/>
      <c r="Y180" s="266"/>
      <c r="Z180" s="266"/>
      <c r="AA180" s="266"/>
      <c r="AB180" s="266"/>
      <c r="AC180" s="250"/>
      <c r="AD180" s="267"/>
      <c r="AE180" s="267"/>
      <c r="AF180" s="264"/>
      <c r="AG180" s="267"/>
      <c r="AH180" s="266"/>
      <c r="AI180" s="265"/>
      <c r="AJ180" s="263"/>
      <c r="AK180" s="266"/>
      <c r="AL180" s="266"/>
      <c r="AM180" s="251"/>
    </row>
    <row r="181" spans="11:39" x14ac:dyDescent="0.3">
      <c r="K181" s="264"/>
      <c r="L181" s="156"/>
      <c r="M181" s="156"/>
      <c r="N181" s="265"/>
      <c r="O181" s="265"/>
      <c r="P181" s="265"/>
      <c r="Q181" s="265"/>
      <c r="R181" s="266"/>
      <c r="S181" s="267"/>
      <c r="T181" s="268"/>
      <c r="U181" s="265"/>
      <c r="V181" s="264"/>
      <c r="W181" s="263"/>
      <c r="X181" s="266"/>
      <c r="Y181" s="266"/>
      <c r="Z181" s="266"/>
      <c r="AA181" s="266"/>
      <c r="AB181" s="266"/>
      <c r="AC181" s="250"/>
      <c r="AD181" s="267"/>
      <c r="AE181" s="267"/>
      <c r="AF181" s="264"/>
      <c r="AG181" s="267"/>
      <c r="AH181" s="266"/>
      <c r="AI181" s="265"/>
      <c r="AJ181" s="263"/>
      <c r="AK181" s="266"/>
      <c r="AL181" s="266"/>
      <c r="AM181" s="251"/>
    </row>
    <row r="182" spans="11:39" x14ac:dyDescent="0.3">
      <c r="K182" s="264"/>
      <c r="L182" s="156"/>
      <c r="M182" s="156"/>
      <c r="N182" s="265"/>
      <c r="O182" s="265"/>
      <c r="P182" s="265"/>
      <c r="Q182" s="265"/>
      <c r="R182" s="266"/>
      <c r="S182" s="267"/>
      <c r="T182" s="268"/>
      <c r="U182" s="265"/>
      <c r="V182" s="264"/>
      <c r="W182" s="263"/>
      <c r="X182" s="266"/>
      <c r="Y182" s="266"/>
      <c r="Z182" s="266"/>
      <c r="AA182" s="266"/>
      <c r="AB182" s="266"/>
      <c r="AC182" s="250"/>
      <c r="AD182" s="267"/>
      <c r="AE182" s="267"/>
      <c r="AF182" s="264"/>
      <c r="AG182" s="267"/>
      <c r="AH182" s="266"/>
      <c r="AI182" s="265"/>
      <c r="AJ182" s="263"/>
      <c r="AK182" s="266"/>
      <c r="AL182" s="266"/>
      <c r="AM182" s="251"/>
    </row>
    <row r="183" spans="11:39" x14ac:dyDescent="0.3">
      <c r="K183" s="264"/>
      <c r="L183" s="156"/>
      <c r="M183" s="156"/>
      <c r="N183" s="265"/>
      <c r="O183" s="265"/>
      <c r="P183" s="265"/>
      <c r="Q183" s="265"/>
      <c r="R183" s="266"/>
      <c r="S183" s="267"/>
      <c r="T183" s="268"/>
      <c r="U183" s="265"/>
      <c r="V183" s="264"/>
      <c r="W183" s="263"/>
      <c r="X183" s="266"/>
      <c r="Y183" s="266"/>
      <c r="Z183" s="266"/>
      <c r="AA183" s="266"/>
      <c r="AB183" s="266"/>
      <c r="AC183" s="250"/>
      <c r="AD183" s="267"/>
      <c r="AE183" s="267"/>
      <c r="AF183" s="264"/>
      <c r="AG183" s="267"/>
      <c r="AH183" s="266"/>
      <c r="AI183" s="265"/>
      <c r="AJ183" s="263"/>
      <c r="AK183" s="266"/>
      <c r="AL183" s="266"/>
      <c r="AM183" s="251"/>
    </row>
    <row r="184" spans="11:39" x14ac:dyDescent="0.3">
      <c r="K184" s="264"/>
      <c r="L184" s="156"/>
      <c r="M184" s="156"/>
      <c r="N184" s="265"/>
      <c r="O184" s="265"/>
      <c r="P184" s="265"/>
      <c r="Q184" s="265"/>
      <c r="R184" s="266"/>
      <c r="S184" s="267"/>
      <c r="T184" s="268"/>
      <c r="U184" s="265"/>
      <c r="V184" s="264"/>
      <c r="W184" s="263"/>
      <c r="X184" s="266"/>
      <c r="Y184" s="266"/>
      <c r="Z184" s="266"/>
      <c r="AA184" s="266"/>
      <c r="AB184" s="266"/>
      <c r="AC184" s="250"/>
      <c r="AD184" s="267"/>
      <c r="AE184" s="267"/>
      <c r="AF184" s="264"/>
      <c r="AG184" s="267"/>
      <c r="AH184" s="266"/>
      <c r="AI184" s="265"/>
      <c r="AJ184" s="263"/>
      <c r="AK184" s="266"/>
      <c r="AL184" s="266"/>
      <c r="AM184" s="251"/>
    </row>
    <row r="185" spans="11:39" x14ac:dyDescent="0.3">
      <c r="K185" s="264"/>
      <c r="L185" s="156"/>
      <c r="M185" s="156"/>
      <c r="N185" s="265"/>
      <c r="O185" s="265"/>
      <c r="P185" s="265"/>
      <c r="Q185" s="265"/>
      <c r="R185" s="266"/>
      <c r="S185" s="267"/>
      <c r="T185" s="268"/>
      <c r="U185" s="265"/>
      <c r="V185" s="264"/>
      <c r="W185" s="263"/>
      <c r="X185" s="266"/>
      <c r="Y185" s="266"/>
      <c r="Z185" s="266"/>
      <c r="AA185" s="266"/>
      <c r="AB185" s="266"/>
      <c r="AC185" s="250"/>
      <c r="AD185" s="267"/>
      <c r="AE185" s="267"/>
      <c r="AF185" s="264"/>
      <c r="AG185" s="267"/>
      <c r="AH185" s="266"/>
      <c r="AI185" s="265"/>
      <c r="AJ185" s="263"/>
      <c r="AK185" s="266"/>
      <c r="AL185" s="266"/>
      <c r="AM185" s="251"/>
    </row>
    <row r="186" spans="11:39" x14ac:dyDescent="0.3">
      <c r="K186" s="264"/>
      <c r="L186" s="156"/>
      <c r="M186" s="156"/>
      <c r="N186" s="265"/>
      <c r="O186" s="265"/>
      <c r="P186" s="265"/>
      <c r="Q186" s="265"/>
      <c r="R186" s="266"/>
      <c r="S186" s="267"/>
      <c r="T186" s="268"/>
      <c r="U186" s="265"/>
      <c r="V186" s="264"/>
      <c r="W186" s="263"/>
      <c r="X186" s="266"/>
      <c r="Y186" s="266"/>
      <c r="Z186" s="266"/>
      <c r="AA186" s="266"/>
      <c r="AB186" s="266"/>
      <c r="AC186" s="250"/>
      <c r="AD186" s="267"/>
      <c r="AE186" s="267"/>
      <c r="AF186" s="264"/>
      <c r="AG186" s="267"/>
      <c r="AH186" s="266"/>
      <c r="AI186" s="265"/>
      <c r="AJ186" s="263"/>
      <c r="AK186" s="266"/>
      <c r="AL186" s="266"/>
      <c r="AM186" s="251"/>
    </row>
    <row r="187" spans="11:39" x14ac:dyDescent="0.3">
      <c r="K187" s="264"/>
      <c r="L187" s="156"/>
      <c r="M187" s="156"/>
      <c r="N187" s="265"/>
      <c r="O187" s="265"/>
      <c r="P187" s="265"/>
      <c r="Q187" s="265"/>
      <c r="R187" s="266"/>
      <c r="S187" s="267"/>
      <c r="T187" s="268"/>
      <c r="U187" s="265"/>
      <c r="V187" s="264"/>
      <c r="W187" s="263"/>
      <c r="X187" s="266"/>
      <c r="Y187" s="266"/>
      <c r="Z187" s="266"/>
      <c r="AA187" s="266"/>
      <c r="AB187" s="266"/>
      <c r="AC187" s="250"/>
      <c r="AD187" s="267"/>
      <c r="AE187" s="267"/>
      <c r="AF187" s="264"/>
      <c r="AG187" s="267"/>
      <c r="AH187" s="266"/>
      <c r="AI187" s="265"/>
      <c r="AJ187" s="263"/>
      <c r="AK187" s="266"/>
      <c r="AL187" s="266"/>
      <c r="AM187" s="251"/>
    </row>
    <row r="188" spans="11:39" x14ac:dyDescent="0.3">
      <c r="K188" s="264"/>
      <c r="L188" s="156"/>
      <c r="M188" s="156"/>
      <c r="N188" s="265"/>
      <c r="O188" s="265"/>
      <c r="P188" s="265"/>
      <c r="Q188" s="265"/>
      <c r="R188" s="266"/>
      <c r="S188" s="267"/>
      <c r="T188" s="268"/>
      <c r="U188" s="265"/>
      <c r="V188" s="264"/>
      <c r="W188" s="263"/>
      <c r="X188" s="266"/>
      <c r="Y188" s="266"/>
      <c r="Z188" s="266"/>
      <c r="AA188" s="266"/>
      <c r="AB188" s="266"/>
      <c r="AC188" s="250"/>
      <c r="AD188" s="267"/>
      <c r="AE188" s="267"/>
      <c r="AF188" s="264"/>
      <c r="AG188" s="267"/>
      <c r="AH188" s="266"/>
      <c r="AI188" s="265"/>
      <c r="AJ188" s="263"/>
      <c r="AK188" s="266"/>
      <c r="AL188" s="266"/>
      <c r="AM188" s="251"/>
    </row>
    <row r="189" spans="11:39" x14ac:dyDescent="0.3">
      <c r="K189" s="264"/>
      <c r="L189" s="156"/>
      <c r="M189" s="156"/>
      <c r="N189" s="265"/>
      <c r="O189" s="265"/>
      <c r="P189" s="265"/>
      <c r="Q189" s="265"/>
      <c r="R189" s="266"/>
      <c r="S189" s="267"/>
      <c r="T189" s="268"/>
      <c r="U189" s="265"/>
      <c r="V189" s="264"/>
      <c r="W189" s="263"/>
      <c r="X189" s="266"/>
      <c r="Y189" s="266"/>
      <c r="Z189" s="266"/>
      <c r="AA189" s="266"/>
      <c r="AB189" s="266"/>
      <c r="AC189" s="250"/>
      <c r="AD189" s="267"/>
      <c r="AE189" s="267"/>
      <c r="AF189" s="264"/>
      <c r="AG189" s="267"/>
      <c r="AH189" s="266"/>
      <c r="AI189" s="265"/>
      <c r="AJ189" s="263"/>
      <c r="AK189" s="266"/>
      <c r="AL189" s="266"/>
      <c r="AM189" s="251"/>
    </row>
    <row r="190" spans="11:39" x14ac:dyDescent="0.3">
      <c r="K190" s="264"/>
      <c r="L190" s="156"/>
      <c r="M190" s="156"/>
      <c r="N190" s="265"/>
      <c r="O190" s="265"/>
      <c r="P190" s="265"/>
      <c r="Q190" s="265"/>
      <c r="R190" s="266"/>
      <c r="S190" s="267"/>
      <c r="T190" s="268"/>
      <c r="U190" s="265"/>
      <c r="V190" s="264"/>
      <c r="W190" s="263"/>
      <c r="X190" s="266"/>
      <c r="Y190" s="266"/>
      <c r="Z190" s="266"/>
      <c r="AA190" s="266"/>
      <c r="AB190" s="266"/>
      <c r="AC190" s="250"/>
      <c r="AD190" s="267"/>
      <c r="AE190" s="267"/>
      <c r="AF190" s="264"/>
      <c r="AG190" s="267"/>
      <c r="AH190" s="266"/>
      <c r="AI190" s="265"/>
      <c r="AJ190" s="263"/>
      <c r="AK190" s="266"/>
      <c r="AL190" s="266"/>
      <c r="AM190" s="251"/>
    </row>
    <row r="191" spans="11:39" x14ac:dyDescent="0.3">
      <c r="K191" s="264"/>
      <c r="L191" s="156"/>
      <c r="M191" s="156"/>
      <c r="N191" s="265"/>
      <c r="O191" s="265"/>
      <c r="P191" s="265"/>
      <c r="Q191" s="265"/>
      <c r="R191" s="266"/>
      <c r="S191" s="267"/>
      <c r="T191" s="268"/>
      <c r="U191" s="265"/>
      <c r="V191" s="264"/>
      <c r="W191" s="263"/>
      <c r="X191" s="266"/>
      <c r="Y191" s="266"/>
      <c r="Z191" s="266"/>
      <c r="AA191" s="266"/>
      <c r="AB191" s="266"/>
      <c r="AC191" s="250"/>
      <c r="AD191" s="267"/>
      <c r="AE191" s="267"/>
      <c r="AF191" s="264"/>
      <c r="AG191" s="267"/>
      <c r="AH191" s="266"/>
      <c r="AI191" s="265"/>
      <c r="AJ191" s="263"/>
      <c r="AK191" s="266"/>
      <c r="AL191" s="266"/>
      <c r="AM191" s="251"/>
    </row>
    <row r="192" spans="11:39" x14ac:dyDescent="0.3">
      <c r="K192" s="264"/>
      <c r="L192" s="156"/>
      <c r="M192" s="156"/>
      <c r="N192" s="265"/>
      <c r="O192" s="265"/>
      <c r="P192" s="265"/>
      <c r="Q192" s="265"/>
      <c r="R192" s="266"/>
      <c r="S192" s="267"/>
      <c r="T192" s="268"/>
      <c r="U192" s="265"/>
      <c r="V192" s="264"/>
      <c r="W192" s="263"/>
      <c r="X192" s="266"/>
      <c r="Y192" s="266"/>
      <c r="Z192" s="266"/>
      <c r="AA192" s="266"/>
      <c r="AB192" s="266"/>
      <c r="AC192" s="250"/>
      <c r="AD192" s="267"/>
      <c r="AE192" s="267"/>
      <c r="AF192" s="264"/>
      <c r="AG192" s="267"/>
      <c r="AH192" s="266"/>
      <c r="AI192" s="265"/>
      <c r="AJ192" s="263"/>
      <c r="AK192" s="266"/>
      <c r="AL192" s="266"/>
      <c r="AM192" s="251"/>
    </row>
    <row r="193" spans="3:39" x14ac:dyDescent="0.3">
      <c r="C193" s="156"/>
      <c r="D193" s="156"/>
      <c r="E193" s="156"/>
      <c r="F193" s="156"/>
      <c r="G193" s="156"/>
      <c r="H193" s="156"/>
      <c r="I193" s="156"/>
      <c r="J193" s="263"/>
      <c r="K193" s="264"/>
      <c r="L193" s="156"/>
      <c r="M193" s="156"/>
      <c r="N193" s="265"/>
      <c r="O193" s="265"/>
      <c r="P193" s="265"/>
      <c r="Q193" s="265"/>
      <c r="R193" s="266"/>
      <c r="S193" s="267"/>
      <c r="T193" s="268"/>
      <c r="U193" s="265"/>
      <c r="V193" s="264"/>
      <c r="W193" s="263"/>
      <c r="X193" s="266"/>
      <c r="Y193" s="266"/>
      <c r="Z193" s="266"/>
      <c r="AA193" s="266"/>
      <c r="AB193" s="266"/>
      <c r="AC193" s="250"/>
      <c r="AD193" s="267"/>
      <c r="AE193" s="267"/>
      <c r="AF193" s="264"/>
      <c r="AG193" s="267"/>
      <c r="AH193" s="266"/>
      <c r="AI193" s="265"/>
      <c r="AJ193" s="263"/>
      <c r="AK193" s="266"/>
      <c r="AL193" s="266"/>
      <c r="AM193" s="251"/>
    </row>
    <row r="194" spans="3:39" x14ac:dyDescent="0.3">
      <c r="C194" s="156"/>
      <c r="D194" s="156"/>
      <c r="E194" s="156"/>
      <c r="F194" s="156"/>
      <c r="G194" s="156"/>
      <c r="H194" s="156"/>
      <c r="I194" s="156"/>
      <c r="J194" s="263"/>
      <c r="K194" s="264"/>
      <c r="L194" s="156"/>
      <c r="M194" s="156"/>
      <c r="N194" s="265"/>
      <c r="O194" s="265"/>
      <c r="P194" s="265"/>
      <c r="Q194" s="265"/>
      <c r="R194" s="266"/>
      <c r="S194" s="267"/>
      <c r="T194" s="268"/>
      <c r="U194" s="265"/>
      <c r="V194" s="264"/>
      <c r="W194" s="263"/>
      <c r="X194" s="266"/>
      <c r="Y194" s="266"/>
      <c r="Z194" s="266"/>
      <c r="AA194" s="266"/>
      <c r="AB194" s="266"/>
      <c r="AC194" s="250"/>
      <c r="AD194" s="267"/>
      <c r="AE194" s="267"/>
      <c r="AF194" s="264"/>
      <c r="AG194" s="267"/>
      <c r="AH194" s="266"/>
      <c r="AI194" s="265"/>
      <c r="AJ194" s="263"/>
      <c r="AK194" s="266"/>
      <c r="AL194" s="266"/>
      <c r="AM194" s="251"/>
    </row>
    <row r="195" spans="3:39" x14ac:dyDescent="0.3">
      <c r="C195" s="269"/>
      <c r="D195" s="156"/>
      <c r="E195" s="156"/>
      <c r="F195" s="156"/>
      <c r="G195" s="156"/>
      <c r="H195" s="156"/>
      <c r="I195" s="156"/>
      <c r="J195" s="263"/>
      <c r="K195" s="264"/>
      <c r="L195" s="156"/>
      <c r="M195" s="156"/>
      <c r="N195" s="265"/>
      <c r="O195" s="265"/>
      <c r="P195" s="265"/>
      <c r="Q195" s="265"/>
      <c r="R195" s="266"/>
      <c r="S195" s="267"/>
      <c r="T195" s="268"/>
      <c r="U195" s="265"/>
      <c r="V195" s="264"/>
      <c r="W195" s="263"/>
      <c r="X195" s="266"/>
      <c r="Y195" s="266"/>
      <c r="Z195" s="266"/>
      <c r="AA195" s="266"/>
      <c r="AB195" s="266"/>
      <c r="AC195" s="250"/>
      <c r="AD195" s="267"/>
      <c r="AE195" s="267"/>
      <c r="AF195" s="264"/>
      <c r="AG195" s="267"/>
      <c r="AH195" s="266"/>
      <c r="AI195" s="265"/>
      <c r="AJ195" s="263"/>
      <c r="AK195" s="266"/>
      <c r="AL195" s="266"/>
      <c r="AM195" s="251"/>
    </row>
    <row r="196" spans="3:39" x14ac:dyDescent="0.3">
      <c r="C196" s="156"/>
      <c r="D196" s="156"/>
      <c r="E196" s="156"/>
      <c r="F196" s="156"/>
      <c r="G196" s="156"/>
      <c r="H196" s="156"/>
      <c r="I196" s="156"/>
      <c r="J196" s="263"/>
      <c r="K196" s="264"/>
      <c r="L196" s="156"/>
      <c r="M196" s="156"/>
      <c r="N196" s="265"/>
      <c r="O196" s="265"/>
      <c r="P196" s="265"/>
      <c r="Q196" s="265"/>
      <c r="R196" s="266"/>
      <c r="S196" s="267"/>
      <c r="T196" s="268"/>
      <c r="U196" s="265"/>
      <c r="V196" s="264"/>
      <c r="W196" s="263"/>
      <c r="X196" s="266"/>
      <c r="Y196" s="266"/>
      <c r="Z196" s="266"/>
      <c r="AA196" s="266"/>
      <c r="AB196" s="266"/>
      <c r="AC196" s="250"/>
      <c r="AD196" s="267"/>
      <c r="AE196" s="267"/>
      <c r="AF196" s="264"/>
      <c r="AG196" s="267"/>
      <c r="AH196" s="266"/>
      <c r="AI196" s="265"/>
      <c r="AJ196" s="263"/>
      <c r="AK196" s="266"/>
      <c r="AL196" s="266"/>
      <c r="AM196" s="251"/>
    </row>
    <row r="197" spans="3:39" x14ac:dyDescent="0.3">
      <c r="C197" s="156"/>
      <c r="D197" s="156"/>
      <c r="E197" s="156"/>
      <c r="F197" s="156"/>
      <c r="G197" s="156"/>
      <c r="H197" s="156"/>
      <c r="I197" s="156"/>
      <c r="J197" s="263"/>
      <c r="K197" s="264"/>
      <c r="L197" s="156"/>
      <c r="M197" s="156"/>
      <c r="N197" s="265"/>
      <c r="O197" s="265"/>
      <c r="P197" s="265"/>
      <c r="Q197" s="265"/>
      <c r="R197" s="266"/>
      <c r="S197" s="267"/>
      <c r="T197" s="268"/>
      <c r="U197" s="265"/>
      <c r="V197" s="264"/>
      <c r="W197" s="263"/>
      <c r="X197" s="266"/>
      <c r="Y197" s="266"/>
      <c r="Z197" s="266"/>
      <c r="AA197" s="266"/>
      <c r="AB197" s="266"/>
      <c r="AC197" s="250"/>
      <c r="AD197" s="267"/>
      <c r="AE197" s="267"/>
      <c r="AF197" s="264"/>
      <c r="AG197" s="267"/>
      <c r="AH197" s="266"/>
      <c r="AI197" s="265"/>
      <c r="AJ197" s="263"/>
      <c r="AK197" s="266"/>
      <c r="AL197" s="266"/>
      <c r="AM197" s="251"/>
    </row>
    <row r="198" spans="3:39" x14ac:dyDescent="0.3">
      <c r="C198" s="156"/>
      <c r="D198" s="156"/>
      <c r="E198" s="156"/>
      <c r="F198" s="156"/>
      <c r="G198" s="156"/>
      <c r="H198" s="156"/>
      <c r="I198" s="156"/>
      <c r="J198" s="263"/>
      <c r="K198" s="264"/>
      <c r="L198" s="156"/>
      <c r="M198" s="156"/>
      <c r="N198" s="265"/>
      <c r="O198" s="265"/>
      <c r="P198" s="265"/>
      <c r="Q198" s="265"/>
      <c r="R198" s="266"/>
      <c r="S198" s="267"/>
      <c r="T198" s="268"/>
      <c r="U198" s="265"/>
      <c r="V198" s="264"/>
      <c r="W198" s="263"/>
      <c r="X198" s="266"/>
      <c r="Y198" s="266"/>
      <c r="Z198" s="266"/>
      <c r="AA198" s="266"/>
      <c r="AB198" s="266"/>
      <c r="AC198" s="250"/>
      <c r="AD198" s="267"/>
      <c r="AE198" s="267"/>
      <c r="AF198" s="264"/>
      <c r="AG198" s="267"/>
      <c r="AH198" s="266"/>
      <c r="AI198" s="265"/>
      <c r="AJ198" s="263"/>
      <c r="AK198" s="266"/>
      <c r="AL198" s="266"/>
      <c r="AM198" s="251"/>
    </row>
    <row r="199" spans="3:39" x14ac:dyDescent="0.3">
      <c r="C199" s="156"/>
      <c r="D199" s="156"/>
      <c r="E199" s="156"/>
      <c r="F199" s="156"/>
      <c r="G199" s="156"/>
      <c r="H199" s="156"/>
      <c r="I199" s="156"/>
      <c r="J199" s="263"/>
      <c r="K199" s="264"/>
      <c r="L199" s="156"/>
      <c r="M199" s="156"/>
      <c r="N199" s="265"/>
      <c r="O199" s="265"/>
      <c r="P199" s="265"/>
      <c r="Q199" s="265"/>
      <c r="R199" s="266"/>
      <c r="S199" s="267"/>
      <c r="T199" s="268"/>
      <c r="U199" s="265"/>
      <c r="V199" s="264"/>
      <c r="W199" s="263"/>
      <c r="X199" s="266"/>
      <c r="Y199" s="266"/>
      <c r="Z199" s="266"/>
      <c r="AA199" s="266"/>
      <c r="AB199" s="266"/>
      <c r="AC199" s="250"/>
      <c r="AD199" s="267"/>
      <c r="AE199" s="267"/>
      <c r="AF199" s="264"/>
      <c r="AG199" s="267"/>
      <c r="AH199" s="266"/>
      <c r="AI199" s="265"/>
      <c r="AJ199" s="263"/>
      <c r="AK199" s="266"/>
      <c r="AL199" s="266"/>
      <c r="AM199" s="251"/>
    </row>
    <row r="200" spans="3:39" x14ac:dyDescent="0.3">
      <c r="C200" s="156"/>
      <c r="D200" s="156"/>
      <c r="E200" s="156"/>
      <c r="F200" s="156"/>
      <c r="G200" s="156"/>
      <c r="H200" s="156"/>
      <c r="I200" s="156"/>
      <c r="J200" s="263"/>
      <c r="K200" s="264"/>
      <c r="L200" s="156"/>
      <c r="M200" s="156"/>
      <c r="N200" s="265"/>
      <c r="O200" s="265"/>
      <c r="P200" s="265"/>
      <c r="Q200" s="265"/>
      <c r="R200" s="266"/>
      <c r="S200" s="267"/>
      <c r="T200" s="268"/>
      <c r="U200" s="265"/>
      <c r="V200" s="264"/>
      <c r="W200" s="263"/>
      <c r="X200" s="266"/>
      <c r="Y200" s="266"/>
      <c r="Z200" s="266"/>
      <c r="AA200" s="266"/>
      <c r="AB200" s="266"/>
      <c r="AC200" s="250"/>
      <c r="AD200" s="267"/>
      <c r="AE200" s="267"/>
      <c r="AF200" s="264"/>
      <c r="AG200" s="267"/>
      <c r="AH200" s="266"/>
      <c r="AI200" s="265"/>
      <c r="AJ200" s="263"/>
      <c r="AK200" s="266"/>
      <c r="AL200" s="266"/>
      <c r="AM200" s="251"/>
    </row>
    <row r="201" spans="3:39" x14ac:dyDescent="0.3">
      <c r="C201" s="156"/>
      <c r="D201" s="156"/>
      <c r="E201" s="156"/>
      <c r="F201" s="156"/>
      <c r="G201" s="156"/>
      <c r="H201" s="156"/>
      <c r="I201" s="156"/>
      <c r="J201" s="263"/>
      <c r="K201" s="264"/>
      <c r="L201" s="156"/>
      <c r="M201" s="156"/>
      <c r="N201" s="265"/>
      <c r="O201" s="265"/>
      <c r="P201" s="265"/>
      <c r="Q201" s="265"/>
      <c r="R201" s="266"/>
      <c r="S201" s="267"/>
      <c r="T201" s="268"/>
      <c r="U201" s="265"/>
      <c r="V201" s="264"/>
      <c r="W201" s="263"/>
      <c r="X201" s="266"/>
      <c r="Y201" s="266"/>
      <c r="Z201" s="266"/>
      <c r="AA201" s="266"/>
      <c r="AB201" s="266"/>
      <c r="AC201" s="250"/>
      <c r="AD201" s="267"/>
      <c r="AE201" s="267"/>
      <c r="AF201" s="264"/>
      <c r="AG201" s="267"/>
      <c r="AH201" s="266"/>
      <c r="AI201" s="265"/>
      <c r="AJ201" s="263"/>
      <c r="AK201" s="266"/>
      <c r="AL201" s="266"/>
      <c r="AM201" s="251"/>
    </row>
    <row r="202" spans="3:39" x14ac:dyDescent="0.3">
      <c r="C202" s="156"/>
      <c r="D202" s="156"/>
      <c r="E202" s="156"/>
      <c r="F202" s="156"/>
      <c r="G202" s="156"/>
      <c r="H202" s="156"/>
      <c r="I202" s="156"/>
      <c r="J202" s="263"/>
      <c r="K202" s="264"/>
      <c r="L202" s="156"/>
      <c r="M202" s="156"/>
      <c r="N202" s="265"/>
      <c r="O202" s="265"/>
      <c r="P202" s="265"/>
      <c r="Q202" s="265"/>
      <c r="R202" s="266"/>
      <c r="S202" s="267"/>
      <c r="T202" s="268"/>
      <c r="U202" s="265"/>
      <c r="V202" s="264"/>
      <c r="W202" s="263"/>
      <c r="X202" s="266"/>
      <c r="Y202" s="266"/>
      <c r="Z202" s="266"/>
      <c r="AA202" s="266"/>
      <c r="AB202" s="266"/>
      <c r="AC202" s="250"/>
      <c r="AD202" s="267"/>
      <c r="AE202" s="267"/>
      <c r="AF202" s="264"/>
      <c r="AG202" s="267"/>
      <c r="AH202" s="266"/>
      <c r="AI202" s="265"/>
      <c r="AJ202" s="263"/>
      <c r="AK202" s="266"/>
      <c r="AL202" s="266"/>
      <c r="AM202" s="251"/>
    </row>
    <row r="203" spans="3:39" x14ac:dyDescent="0.3">
      <c r="C203" s="156"/>
      <c r="D203" s="156"/>
      <c r="E203" s="156"/>
      <c r="F203" s="156"/>
      <c r="G203" s="156"/>
      <c r="H203" s="156"/>
      <c r="I203" s="156"/>
      <c r="J203" s="263"/>
      <c r="K203" s="264"/>
      <c r="L203" s="156"/>
      <c r="M203" s="156"/>
      <c r="N203" s="265"/>
      <c r="O203" s="265"/>
      <c r="P203" s="265"/>
      <c r="Q203" s="265"/>
      <c r="R203" s="266"/>
      <c r="S203" s="267"/>
      <c r="T203" s="268"/>
      <c r="U203" s="265"/>
      <c r="V203" s="264"/>
      <c r="W203" s="263"/>
      <c r="X203" s="266"/>
      <c r="Y203" s="266"/>
      <c r="Z203" s="266"/>
      <c r="AA203" s="266"/>
      <c r="AB203" s="266"/>
      <c r="AC203" s="250"/>
      <c r="AD203" s="267"/>
      <c r="AE203" s="267"/>
      <c r="AF203" s="264"/>
      <c r="AG203" s="267"/>
      <c r="AH203" s="266"/>
      <c r="AI203" s="265"/>
      <c r="AJ203" s="263"/>
      <c r="AK203" s="266"/>
      <c r="AL203" s="266"/>
      <c r="AM203" s="251"/>
    </row>
    <row r="204" spans="3:39" x14ac:dyDescent="0.3">
      <c r="C204" s="156"/>
      <c r="D204" s="156"/>
      <c r="E204" s="156"/>
      <c r="F204" s="156"/>
      <c r="G204" s="156"/>
      <c r="H204" s="156"/>
      <c r="I204" s="156"/>
      <c r="J204" s="263"/>
      <c r="K204" s="264"/>
      <c r="L204" s="156"/>
      <c r="M204" s="156"/>
      <c r="N204" s="265"/>
      <c r="O204" s="265"/>
      <c r="P204" s="265"/>
      <c r="Q204" s="265"/>
      <c r="R204" s="266"/>
      <c r="S204" s="267"/>
      <c r="T204" s="268"/>
      <c r="U204" s="265"/>
      <c r="V204" s="264"/>
      <c r="W204" s="263"/>
      <c r="X204" s="266"/>
      <c r="Y204" s="266"/>
      <c r="Z204" s="266"/>
      <c r="AA204" s="266"/>
      <c r="AB204" s="266"/>
      <c r="AC204" s="250"/>
      <c r="AD204" s="267"/>
      <c r="AE204" s="267"/>
      <c r="AF204" s="264"/>
      <c r="AG204" s="267"/>
      <c r="AH204" s="266"/>
      <c r="AI204" s="265"/>
      <c r="AJ204" s="263"/>
      <c r="AK204" s="266"/>
      <c r="AL204" s="266"/>
      <c r="AM204" s="251"/>
    </row>
    <row r="205" spans="3:39" x14ac:dyDescent="0.3">
      <c r="C205" s="156"/>
      <c r="D205" s="156"/>
      <c r="E205" s="156"/>
      <c r="F205" s="156"/>
      <c r="G205" s="156"/>
      <c r="H205" s="156"/>
      <c r="I205" s="156"/>
      <c r="J205" s="263"/>
      <c r="K205" s="156"/>
      <c r="L205" s="156"/>
      <c r="M205" s="156"/>
      <c r="N205" s="265"/>
      <c r="O205" s="265"/>
      <c r="P205" s="265"/>
      <c r="Q205" s="265"/>
      <c r="R205" s="266"/>
      <c r="S205" s="267"/>
      <c r="T205" s="268"/>
      <c r="U205" s="265"/>
      <c r="V205" s="264"/>
      <c r="W205" s="263"/>
      <c r="X205" s="266"/>
      <c r="Y205" s="266"/>
      <c r="Z205" s="266"/>
      <c r="AA205" s="266"/>
      <c r="AB205" s="266"/>
      <c r="AC205" s="250"/>
      <c r="AD205" s="267"/>
      <c r="AE205" s="267"/>
      <c r="AF205" s="264"/>
      <c r="AG205" s="267"/>
      <c r="AH205" s="266"/>
      <c r="AI205" s="265"/>
      <c r="AJ205" s="263"/>
      <c r="AK205" s="266"/>
      <c r="AL205" s="266"/>
      <c r="AM205" s="251"/>
    </row>
    <row r="206" spans="3:39" x14ac:dyDescent="0.3">
      <c r="C206" s="156"/>
      <c r="D206" s="156"/>
      <c r="E206" s="156"/>
      <c r="F206" s="156"/>
      <c r="G206" s="156"/>
      <c r="H206" s="156"/>
      <c r="I206" s="156"/>
      <c r="J206" s="263"/>
      <c r="K206" s="156"/>
      <c r="L206" s="156"/>
      <c r="M206" s="156"/>
      <c r="N206" s="265"/>
      <c r="O206" s="265"/>
      <c r="P206" s="265"/>
      <c r="Q206" s="265"/>
      <c r="R206" s="266"/>
      <c r="S206" s="267"/>
      <c r="T206" s="268"/>
      <c r="U206" s="265"/>
      <c r="V206" s="264"/>
      <c r="W206" s="263"/>
      <c r="X206" s="266"/>
      <c r="Y206" s="266"/>
      <c r="Z206" s="266"/>
      <c r="AA206" s="266"/>
      <c r="AB206" s="266"/>
      <c r="AC206" s="250"/>
      <c r="AD206" s="267"/>
      <c r="AE206" s="267"/>
      <c r="AF206" s="264"/>
      <c r="AG206" s="267"/>
      <c r="AH206" s="266"/>
      <c r="AI206" s="265"/>
      <c r="AJ206" s="263"/>
      <c r="AK206" s="266"/>
      <c r="AL206" s="266"/>
      <c r="AM206" s="251"/>
    </row>
    <row r="207" spans="3:39" x14ac:dyDescent="0.3">
      <c r="C207" s="156"/>
      <c r="D207" s="156"/>
      <c r="E207" s="156"/>
      <c r="F207" s="156"/>
      <c r="G207" s="156"/>
      <c r="H207" s="156"/>
      <c r="I207" s="156"/>
      <c r="J207" s="263"/>
      <c r="K207" s="156"/>
      <c r="L207" s="156"/>
      <c r="M207" s="156"/>
      <c r="N207" s="265"/>
      <c r="O207" s="265"/>
      <c r="P207" s="265"/>
      <c r="Q207" s="265"/>
      <c r="R207" s="266"/>
      <c r="S207" s="267"/>
      <c r="T207" s="268"/>
      <c r="U207" s="265"/>
      <c r="V207" s="264"/>
      <c r="W207" s="263"/>
      <c r="X207" s="266"/>
      <c r="Y207" s="266"/>
      <c r="Z207" s="266"/>
      <c r="AA207" s="266"/>
      <c r="AB207" s="266"/>
      <c r="AC207" s="250"/>
      <c r="AD207" s="267"/>
      <c r="AE207" s="267"/>
      <c r="AF207" s="264"/>
      <c r="AG207" s="267"/>
      <c r="AH207" s="266"/>
      <c r="AI207" s="265"/>
      <c r="AJ207" s="263"/>
      <c r="AK207" s="266"/>
      <c r="AL207" s="266"/>
      <c r="AM207" s="251"/>
    </row>
    <row r="208" spans="3:39" x14ac:dyDescent="0.3">
      <c r="C208" s="156"/>
      <c r="D208" s="156"/>
      <c r="E208" s="156"/>
      <c r="F208" s="156"/>
      <c r="G208" s="156"/>
      <c r="H208" s="156"/>
      <c r="I208" s="156"/>
      <c r="J208" s="263"/>
      <c r="K208" s="156"/>
      <c r="L208" s="156"/>
      <c r="M208" s="156"/>
      <c r="N208" s="265"/>
      <c r="O208" s="265"/>
      <c r="P208" s="265"/>
      <c r="Q208" s="265"/>
      <c r="R208" s="266"/>
      <c r="S208" s="267"/>
      <c r="T208" s="268"/>
      <c r="U208" s="265"/>
      <c r="V208" s="264"/>
      <c r="W208" s="263"/>
      <c r="X208" s="266"/>
      <c r="Y208" s="266"/>
      <c r="Z208" s="266"/>
      <c r="AA208" s="266"/>
      <c r="AB208" s="266"/>
      <c r="AC208" s="250"/>
      <c r="AD208" s="267"/>
      <c r="AE208" s="267"/>
      <c r="AF208" s="264"/>
      <c r="AG208" s="267"/>
      <c r="AH208" s="266"/>
      <c r="AI208" s="265"/>
      <c r="AJ208" s="263"/>
      <c r="AK208" s="266"/>
      <c r="AL208" s="266"/>
      <c r="AM208" s="251"/>
    </row>
    <row r="209" spans="35:39" x14ac:dyDescent="0.3">
      <c r="AI209" s="265"/>
      <c r="AJ209" s="263"/>
      <c r="AK209" s="266"/>
      <c r="AL209" s="266"/>
      <c r="AM209" s="251"/>
    </row>
    <row r="210" spans="35:39" x14ac:dyDescent="0.3">
      <c r="AI210" s="265"/>
      <c r="AJ210" s="263"/>
      <c r="AK210" s="266"/>
      <c r="AL210" s="266"/>
      <c r="AM210" s="251"/>
    </row>
    <row r="211" spans="35:39" x14ac:dyDescent="0.3">
      <c r="AI211" s="265"/>
      <c r="AJ211" s="263"/>
      <c r="AK211" s="266"/>
      <c r="AL211" s="266"/>
      <c r="AM211" s="251"/>
    </row>
    <row r="212" spans="35:39" x14ac:dyDescent="0.3">
      <c r="AI212" s="265"/>
      <c r="AJ212" s="263"/>
      <c r="AK212" s="266"/>
      <c r="AL212" s="266"/>
      <c r="AM212" s="251"/>
    </row>
    <row r="213" spans="35:39" x14ac:dyDescent="0.3">
      <c r="AI213" s="265"/>
      <c r="AJ213" s="263"/>
      <c r="AK213" s="266"/>
      <c r="AL213" s="266"/>
      <c r="AM213" s="251"/>
    </row>
    <row r="214" spans="35:39" x14ac:dyDescent="0.3">
      <c r="AI214" s="265"/>
      <c r="AJ214" s="263"/>
      <c r="AK214" s="266"/>
      <c r="AL214" s="266"/>
      <c r="AM214" s="251"/>
    </row>
    <row r="215" spans="35:39" x14ac:dyDescent="0.3">
      <c r="AI215" s="265"/>
      <c r="AJ215" s="263"/>
      <c r="AK215" s="266"/>
      <c r="AL215" s="266"/>
      <c r="AM215" s="251"/>
    </row>
    <row r="216" spans="35:39" x14ac:dyDescent="0.3">
      <c r="AI216" s="265"/>
      <c r="AJ216" s="263"/>
      <c r="AK216" s="266"/>
      <c r="AL216" s="266"/>
      <c r="AM216" s="251"/>
    </row>
    <row r="217" spans="35:39" x14ac:dyDescent="0.3">
      <c r="AI217" s="265"/>
      <c r="AJ217" s="263"/>
      <c r="AK217" s="266"/>
      <c r="AL217" s="266"/>
      <c r="AM217" s="251"/>
    </row>
    <row r="218" spans="35:39" x14ac:dyDescent="0.3">
      <c r="AI218" s="265"/>
      <c r="AJ218" s="263"/>
      <c r="AK218" s="266"/>
      <c r="AL218" s="266"/>
      <c r="AM218" s="251"/>
    </row>
    <row r="219" spans="35:39" x14ac:dyDescent="0.3">
      <c r="AI219" s="265"/>
      <c r="AJ219" s="263"/>
      <c r="AK219" s="266"/>
      <c r="AL219" s="266"/>
      <c r="AM219" s="251"/>
    </row>
    <row r="220" spans="35:39" x14ac:dyDescent="0.3">
      <c r="AI220" s="265"/>
      <c r="AJ220" s="263"/>
      <c r="AK220" s="266"/>
      <c r="AL220" s="266"/>
      <c r="AM220" s="251"/>
    </row>
    <row r="221" spans="35:39" x14ac:dyDescent="0.3">
      <c r="AI221" s="265"/>
      <c r="AJ221" s="263"/>
      <c r="AK221" s="266"/>
      <c r="AL221" s="266"/>
      <c r="AM221" s="251"/>
    </row>
    <row r="222" spans="35:39" x14ac:dyDescent="0.3">
      <c r="AI222" s="265"/>
      <c r="AJ222" s="263"/>
      <c r="AK222" s="266"/>
      <c r="AL222" s="266"/>
      <c r="AM222" s="251"/>
    </row>
    <row r="223" spans="35:39" x14ac:dyDescent="0.3">
      <c r="AI223" s="265"/>
      <c r="AJ223" s="263"/>
      <c r="AK223" s="266"/>
      <c r="AL223" s="266"/>
      <c r="AM223" s="251"/>
    </row>
    <row r="224" spans="35:39" x14ac:dyDescent="0.3">
      <c r="AI224" s="265"/>
      <c r="AJ224" s="263"/>
      <c r="AK224" s="266"/>
      <c r="AL224" s="266"/>
      <c r="AM224" s="251"/>
    </row>
    <row r="225" spans="35:39" x14ac:dyDescent="0.3">
      <c r="AI225" s="265"/>
      <c r="AJ225" s="263"/>
      <c r="AK225" s="266"/>
      <c r="AL225" s="266"/>
      <c r="AM225" s="251"/>
    </row>
    <row r="226" spans="35:39" x14ac:dyDescent="0.3">
      <c r="AI226" s="265"/>
      <c r="AJ226" s="263"/>
      <c r="AK226" s="266"/>
      <c r="AL226" s="266"/>
      <c r="AM226" s="251"/>
    </row>
    <row r="227" spans="35:39" x14ac:dyDescent="0.3">
      <c r="AI227" s="265"/>
      <c r="AJ227" s="263"/>
      <c r="AK227" s="266"/>
      <c r="AL227" s="266"/>
      <c r="AM227" s="251"/>
    </row>
    <row r="228" spans="35:39" x14ac:dyDescent="0.3">
      <c r="AI228" s="265"/>
      <c r="AJ228" s="263"/>
      <c r="AK228" s="266"/>
      <c r="AL228" s="266"/>
      <c r="AM228" s="251"/>
    </row>
    <row r="229" spans="35:39" x14ac:dyDescent="0.3">
      <c r="AI229" s="265"/>
      <c r="AJ229" s="263"/>
      <c r="AK229" s="266"/>
      <c r="AL229" s="266"/>
      <c r="AM229" s="251"/>
    </row>
    <row r="230" spans="35:39" x14ac:dyDescent="0.3">
      <c r="AI230" s="265"/>
      <c r="AJ230" s="263"/>
      <c r="AK230" s="266"/>
      <c r="AL230" s="266"/>
      <c r="AM230" s="251"/>
    </row>
    <row r="231" spans="35:39" x14ac:dyDescent="0.3">
      <c r="AI231" s="265"/>
      <c r="AJ231" s="263"/>
      <c r="AK231" s="266"/>
      <c r="AL231" s="266"/>
      <c r="AM231" s="251"/>
    </row>
    <row r="232" spans="35:39" x14ac:dyDescent="0.3">
      <c r="AI232" s="265"/>
      <c r="AJ232" s="263"/>
      <c r="AK232" s="266"/>
      <c r="AL232" s="266"/>
      <c r="AM232" s="251"/>
    </row>
    <row r="233" spans="35:39" x14ac:dyDescent="0.3">
      <c r="AI233" s="265"/>
      <c r="AJ233" s="263"/>
      <c r="AK233" s="266"/>
      <c r="AL233" s="266"/>
      <c r="AM233" s="251"/>
    </row>
    <row r="496" spans="11:11" x14ac:dyDescent="0.3">
      <c r="K496" s="154"/>
    </row>
    <row r="652" spans="11:11" x14ac:dyDescent="0.3">
      <c r="K652" s="154"/>
    </row>
    <row r="842" spans="11:11" x14ac:dyDescent="0.3">
      <c r="K842" s="270"/>
    </row>
  </sheetData>
  <mergeCells count="3">
    <mergeCell ref="D6:I6"/>
    <mergeCell ref="O2:P2"/>
    <mergeCell ref="V2:W2"/>
  </mergeCells>
  <phoneticPr fontId="2" type="noConversion"/>
  <dataValidations xWindow="217" yWindow="190" count="15">
    <dataValidation type="decimal" operator="greaterThan" allowBlank="1" showInputMessage="1" showErrorMessage="1" error="This value must be a number greater than zero." sqref="N1:O6 O12:O65536 N8:N65536" xr:uid="{0398079E-AABC-406A-A531-F1926AD0FA9B}">
      <formula1>0</formula1>
    </dataValidation>
    <dataValidation allowBlank="1" showInputMessage="1" showErrorMessage="1" promptTitle="Assembly" prompt="Right click to enter the assembly for this task. A task must be assigned to the SYSTEM assembly or a leaf assembly." sqref="A7" xr:uid="{FC6A9B55-C0F9-4922-A350-5A08C9EC2124}"/>
    <dataValidation allowBlank="1" showInputMessage="1" showErrorMessage="1" promptTitle="Phase" prompt="Right click to enter the process phase that has this task." sqref="B7" xr:uid="{3A8B675B-A66B-45F8-A31C-F3C5F25DED69}"/>
    <dataValidation allowBlank="1" showInputMessage="1" showErrorMessage="1" promptTitle="Task Name" prompt="Enter a name for this task, or use the default name. Task names must be unique." sqref="C7" xr:uid="{DC80FC4C-A0FC-49E6-A105-FAB5937B57D6}"/>
    <dataValidation type="decimal" operator="greaterThanOrEqual" allowBlank="1" showInputMessage="1" showErrorMessage="1" error="This value must be a number greater than or equal to zero." promptTitle="Estimated Size" prompt="Enter the size estimate._x000a_Estimated Hours = Estimated Size / Rate" sqref="L7" xr:uid="{7799BA7D-7880-4D20-8D89-7FE06045719B}">
      <formula1>0</formula1>
    </dataValidation>
    <dataValidation type="decimal" operator="greaterThan" allowBlank="1" showInputMessage="1" showErrorMessage="1" error="This value must be a number greater than zero." promptTitle="Rate" prompt="Enter the rate in units per hour, e.g. enter 10 for 10 LOC per hour. _x000a_Estimated Hours = Estimated Size / Rate" sqref="N7" xr:uid="{0D65AF58-DC46-48B8-9D11-0E21F8557BE2}">
      <formula1>0</formula1>
    </dataValidation>
    <dataValidation type="decimal" operator="greaterThanOrEqual" allowBlank="1" showInputMessage="1" showErrorMessage="1" error="This value must be a number greater than or equal to zero." promptTitle="Estimated Hours" prompt="Estimated hours may be entered or calculated._x000a_Estimated Hours = Estimated Size / Rate" sqref="P7" xr:uid="{E13749A5-B537-466E-9697-54A4105EC3F7}">
      <formula1>0</formula1>
    </dataValidation>
    <dataValidation allowBlank="1" showInputMessage="1" showErrorMessage="1" promptTitle="Size Measure" prompt="Enter the size measure that is the basis for the estimate. The value entered is not used in any calculation, and is used only to capture the basis for the estimate. Any size measure may be entered. " sqref="M7" xr:uid="{316E5D87-3B31-4543-9437-BD836438C005}"/>
    <dataValidation type="decimal" operator="greaterThanOrEqual" allowBlank="1" showInputMessage="1" showErrorMessage="1" error="This value must be a number greater than or equal to zero." promptTitle="Actual Hours" prompt="Actual hours are rolled up automatically from the time log. Enter the actual hours for each task ONLY if the time log is not being used and the Use Time Log option on worksheet Project is NOT selected." sqref="U7" xr:uid="{79672740-AF0A-4442-B433-0E3BE69B8902}">
      <formula1>0</formula1>
    </dataValidation>
    <dataValidation type="date" operator="greaterThanOrEqual" allowBlank="1" showInputMessage="1" showErrorMessage="1" error="This value must be a date greater than or equal to the project start date." promptTitle="Actual Date" prompt="Enter the actual date that the task is completed." sqref="V7" xr:uid="{69920414-FE28-48BB-B879-CEB7592EC5F7}">
      <formula1>ProjectStartDate</formula1>
    </dataValidation>
    <dataValidation type="decimal" operator="greaterThanOrEqual" allowBlank="1" showInputMessage="1" showErrorMessage="1" error="This value must be a number greater than or equal to zero." promptTitle="Engineers" prompt="Enter the number of engineers assigned to the task to calculate planned hours for the task._x000a_Plan Hours = Estimated Hours * Engrs" sqref="Q7" xr:uid="{5752A90B-FFE9-496A-8B10-AC4EC107E53C}">
      <formula1>0</formula1>
    </dataValidation>
    <dataValidation allowBlank="1" showInputMessage="1" showErrorMessage="1" promptTitle="Resources" prompt="Right click to enter the team member(s) assigned to this task." sqref="K7" xr:uid="{DC002122-02E9-43CE-AFC8-BD5C5EC90A46}"/>
    <dataValidation type="decimal" operator="greaterThan" allowBlank="1" showInputMessage="1" showErrorMessage="1" error="This value must be a number greater than zero." promptTitle="Time in Phase %" prompt="Enter the percentage of time in phase for this task." sqref="O7" xr:uid="{BADDE80F-F885-4E8F-B8C4-1418E56B0190}">
      <formula1>0</formula1>
    </dataValidation>
    <dataValidation type="decimal" operator="greaterThanOrEqual" allowBlank="1" showInputMessage="1" showErrorMessage="1" error="This value must be a number greater than or equal to zero." sqref="P8:R65536 U8:U65536 L8:L65536" xr:uid="{47B1C082-43F5-4190-BAC4-8C911DBDC6D0}">
      <formula1>0</formula1>
    </dataValidation>
    <dataValidation type="date" operator="greaterThanOrEqual" allowBlank="1" showInputMessage="1" showErrorMessage="1" error="This value must be a date greater than or equal to the project start date." sqref="V8:V65536" xr:uid="{BFE087F7-9658-4DF0-8CA7-F3E062FAF0AB}">
      <formula1>ProjectStartDate</formula1>
    </dataValidation>
  </dataValidations>
  <printOptions gridLines="1"/>
  <pageMargins left="0.5" right="0.5" top="1" bottom="1" header="0.5" footer="0.5"/>
  <pageSetup scale="70" orientation="landscape"/>
  <headerFooter alignWithMargins="0">
    <oddHeader>&amp;A</oddHead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1750" r:id="rId3" name="UpdateTaskSched">
              <controlPr defaultSize="0" print="0" disabled="1" autoFill="0" autoPict="0" macro="[0]!PROJECT.masterprojectupdate">
                <anchor moveWithCells="1" sizeWithCells="1">
                  <from>
                    <xdr:col>2</xdr:col>
                    <xdr:colOff>966788</xdr:colOff>
                    <xdr:row>6</xdr:row>
                    <xdr:rowOff>138113</xdr:rowOff>
                  </from>
                  <to>
                    <xdr:col>2</xdr:col>
                    <xdr:colOff>1976438</xdr:colOff>
                    <xdr:row>6</xdr:row>
                    <xdr:rowOff>490538</xdr:rowOff>
                  </to>
                </anchor>
              </controlPr>
            </control>
          </mc:Choice>
        </mc:AlternateContent>
        <mc:AlternateContent xmlns:mc="http://schemas.openxmlformats.org/markup-compatibility/2006">
          <mc:Choice Requires="x14">
            <control shapeId="31751" r:id="rId4" name="GenerateTaskList">
              <controlPr defaultSize="0" print="0" disabled="1" autoFill="0" autoPict="0" macro="[0]!TASK.genTaskList">
                <anchor moveWithCells="1" sizeWithCells="1">
                  <from>
                    <xdr:col>2</xdr:col>
                    <xdr:colOff>109538</xdr:colOff>
                    <xdr:row>6</xdr:row>
                    <xdr:rowOff>128588</xdr:rowOff>
                  </from>
                  <to>
                    <xdr:col>2</xdr:col>
                    <xdr:colOff>890588</xdr:colOff>
                    <xdr:row>6</xdr:row>
                    <xdr:rowOff>476250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34282-CA12-45BE-BE55-DC18575755CD}">
  <sheetPr codeName="SCHEDULE"/>
  <dimension ref="A1:U67"/>
  <sheetViews>
    <sheetView showRowColHeaders="0" zoomScaleNormal="100" workbookViewId="0">
      <pane ySplit="7" topLeftCell="A8" activePane="bottomLeft" state="frozenSplit"/>
      <selection pane="bottomLeft" activeCell="E8" sqref="E8"/>
    </sheetView>
  </sheetViews>
  <sheetFormatPr baseColWidth="10" defaultColWidth="9.1328125" defaultRowHeight="10.15" x14ac:dyDescent="0.3"/>
  <cols>
    <col min="1" max="1" width="8.73046875" style="3" customWidth="1"/>
    <col min="2" max="2" width="7.73046875" style="2" customWidth="1"/>
    <col min="3" max="3" width="7.73046875" style="8" customWidth="1"/>
    <col min="4" max="4" width="7.73046875" style="21" customWidth="1"/>
    <col min="5" max="5" width="7.73046875" style="8" customWidth="1"/>
    <col min="6" max="18" width="7.73046875" style="21" customWidth="1"/>
    <col min="19" max="19" width="40.73046875" style="8" customWidth="1"/>
    <col min="20" max="20" width="1.73046875" style="7" customWidth="1"/>
    <col min="21" max="44" width="0" style="4" hidden="1" customWidth="1"/>
    <col min="45" max="16384" width="9.1328125" style="4"/>
  </cols>
  <sheetData>
    <row r="1" spans="1:21" ht="15" x14ac:dyDescent="0.4">
      <c r="A1" s="69" t="str">
        <f>[0]!TSPProcessName &amp; " Schedule Planning Template - Form SCHEDULE"</f>
        <v>TSPi Schedule Planning Template - Form SCHEDULE</v>
      </c>
      <c r="B1" s="164"/>
      <c r="C1" s="271"/>
      <c r="D1" s="248"/>
      <c r="E1" s="248"/>
      <c r="F1" s="248"/>
      <c r="G1" s="248"/>
      <c r="H1" s="248"/>
      <c r="I1" s="248"/>
      <c r="J1" s="248"/>
      <c r="K1" s="248"/>
      <c r="L1" s="248"/>
      <c r="M1" s="248"/>
      <c r="N1" s="248"/>
      <c r="O1" s="248"/>
      <c r="P1" s="248"/>
      <c r="Q1" s="248"/>
      <c r="R1" s="248"/>
      <c r="S1" s="248"/>
      <c r="T1" s="248"/>
      <c r="U1" s="164"/>
    </row>
    <row r="2" spans="1:21" s="17" customFormat="1" ht="11.25" customHeight="1" x14ac:dyDescent="0.35">
      <c r="A2" s="272"/>
      <c r="B2" s="38" t="s">
        <v>312</v>
      </c>
      <c r="C2" s="273" t="str">
        <f>IF(Name=0,"",Name)</f>
        <v>Isaac Diaz Perez</v>
      </c>
      <c r="D2" s="274"/>
      <c r="E2" s="274"/>
      <c r="F2" s="240"/>
      <c r="G2" s="35"/>
      <c r="H2" s="248"/>
      <c r="I2" s="248"/>
      <c r="J2" s="240"/>
      <c r="K2" s="240"/>
      <c r="L2" s="240"/>
      <c r="M2" s="240"/>
      <c r="N2" s="240"/>
      <c r="O2" s="240"/>
      <c r="P2" s="240"/>
      <c r="Q2" s="240"/>
      <c r="R2" s="240"/>
      <c r="S2" s="240"/>
      <c r="T2" s="248"/>
      <c r="U2" s="170"/>
    </row>
    <row r="3" spans="1:21" s="17" customFormat="1" ht="11.25" customHeight="1" x14ac:dyDescent="0.35">
      <c r="A3" s="275"/>
      <c r="B3" s="38" t="s">
        <v>14</v>
      </c>
      <c r="C3" s="273" t="str">
        <f>IF(TeamName=0,"",TeamName)</f>
        <v>TSP-GRUPO B02-SUBGRUPO 3</v>
      </c>
      <c r="D3" s="274"/>
      <c r="E3" s="274"/>
      <c r="F3" s="240"/>
      <c r="G3" s="35"/>
      <c r="H3" s="276" t="s">
        <v>573</v>
      </c>
      <c r="I3" s="247">
        <f>SUM(Task!R:R)</f>
        <v>192</v>
      </c>
      <c r="J3" s="240"/>
      <c r="K3" s="240"/>
      <c r="L3" s="240"/>
      <c r="M3" s="240"/>
      <c r="N3" s="240"/>
      <c r="O3" s="240"/>
      <c r="P3" s="240"/>
      <c r="Q3" s="240"/>
      <c r="R3" s="240"/>
      <c r="S3" s="240"/>
      <c r="T3" s="248"/>
      <c r="U3" s="170"/>
    </row>
    <row r="4" spans="1:21" s="17" customFormat="1" ht="11.25" customHeight="1" thickBot="1" x14ac:dyDescent="0.4">
      <c r="A4" s="275"/>
      <c r="B4" s="38" t="s">
        <v>314</v>
      </c>
      <c r="C4" s="255">
        <f ca="1">currentDate</f>
        <v>46182</v>
      </c>
      <c r="D4" s="274"/>
      <c r="E4" s="274"/>
      <c r="F4" s="240"/>
      <c r="G4" s="35"/>
      <c r="H4" s="276" t="s">
        <v>574</v>
      </c>
      <c r="I4" s="277">
        <f>SUMIF(B:B,"&gt;0",C:C)</f>
        <v>310</v>
      </c>
      <c r="J4" s="71" t="str">
        <f>IF(I3&gt;I4,"Warning: add schedule hours","")</f>
        <v/>
      </c>
      <c r="K4" s="240"/>
      <c r="L4" s="240"/>
      <c r="M4" s="240"/>
      <c r="N4" s="240"/>
      <c r="O4" s="240"/>
      <c r="P4" s="240"/>
      <c r="Q4" s="240"/>
      <c r="R4" s="240"/>
      <c r="S4" s="240"/>
      <c r="T4" s="248"/>
      <c r="U4" s="170"/>
    </row>
    <row r="5" spans="1:21" s="17" customFormat="1" ht="11.25" customHeight="1" thickTop="1" x14ac:dyDescent="0.35">
      <c r="A5" s="272"/>
      <c r="B5" s="38" t="str">
        <f>IF(Project!C5&lt;&gt;"",Project!C5,"")</f>
        <v>Instructor</v>
      </c>
      <c r="C5" s="273" t="str">
        <f>IF(InstructorName=0,"",InstructorName)</f>
        <v>Natalia Martinez Rojas</v>
      </c>
      <c r="D5" s="274"/>
      <c r="E5" s="274"/>
      <c r="F5" s="240"/>
      <c r="G5" s="35"/>
      <c r="H5" s="240" t="s">
        <v>575</v>
      </c>
      <c r="I5" s="278">
        <f>I3-I4</f>
        <v>-118</v>
      </c>
      <c r="J5" s="240"/>
      <c r="K5" s="240"/>
      <c r="L5" s="240"/>
      <c r="M5" s="240"/>
      <c r="N5" s="240"/>
      <c r="O5" s="240"/>
      <c r="P5" s="240"/>
      <c r="Q5" s="240"/>
      <c r="R5" s="240"/>
      <c r="S5" s="240"/>
      <c r="T5" s="248"/>
      <c r="U5" s="170"/>
    </row>
    <row r="6" spans="1:21" s="17" customFormat="1" ht="11.25" customHeight="1" x14ac:dyDescent="0.35">
      <c r="A6" s="25"/>
      <c r="B6" s="38" t="s">
        <v>327</v>
      </c>
      <c r="C6" s="245">
        <f>IF(Cycle=0,"",Cycle)</f>
        <v>1</v>
      </c>
      <c r="D6" s="274"/>
      <c r="E6" s="274"/>
      <c r="F6" s="240"/>
      <c r="G6" s="240"/>
      <c r="H6" s="240"/>
      <c r="I6" s="240"/>
      <c r="J6" s="240"/>
      <c r="K6" s="240"/>
      <c r="L6" s="240"/>
      <c r="M6" s="240"/>
      <c r="N6" s="240"/>
      <c r="O6" s="240"/>
      <c r="P6" s="240"/>
      <c r="Q6" s="240"/>
      <c r="R6" s="240"/>
      <c r="S6" s="240"/>
      <c r="T6" s="248"/>
      <c r="U6" s="170"/>
    </row>
    <row r="7" spans="1:21" s="76" customFormat="1" ht="51.4" x14ac:dyDescent="0.3">
      <c r="A7" s="279" t="s">
        <v>314</v>
      </c>
      <c r="B7" s="191" t="s">
        <v>576</v>
      </c>
      <c r="C7" s="258" t="s">
        <v>577</v>
      </c>
      <c r="D7" s="258" t="s">
        <v>578</v>
      </c>
      <c r="E7" s="258" t="s">
        <v>521</v>
      </c>
      <c r="F7" s="258" t="s">
        <v>579</v>
      </c>
      <c r="G7" s="258" t="s">
        <v>580</v>
      </c>
      <c r="H7" s="258" t="s">
        <v>581</v>
      </c>
      <c r="I7" s="258" t="s">
        <v>524</v>
      </c>
      <c r="J7" s="258" t="s">
        <v>525</v>
      </c>
      <c r="K7" s="258" t="s">
        <v>582</v>
      </c>
      <c r="L7" s="258" t="s">
        <v>583</v>
      </c>
      <c r="M7" s="258" t="s">
        <v>584</v>
      </c>
      <c r="N7" s="258" t="s">
        <v>585</v>
      </c>
      <c r="O7" s="258" t="s">
        <v>490</v>
      </c>
      <c r="P7" s="258" t="s">
        <v>586</v>
      </c>
      <c r="Q7" s="258" t="s">
        <v>587</v>
      </c>
      <c r="R7" s="258" t="s">
        <v>588</v>
      </c>
      <c r="S7" s="280" t="s">
        <v>533</v>
      </c>
      <c r="T7" s="248"/>
      <c r="U7" s="281"/>
    </row>
    <row r="8" spans="1:21" x14ac:dyDescent="0.3">
      <c r="A8" s="282">
        <f t="shared" ref="A8:A15" si="0">ProjectStartDate+((ROW()-8)*7)</f>
        <v>46148</v>
      </c>
      <c r="B8" s="283">
        <v>1</v>
      </c>
      <c r="C8" s="265">
        <v>30</v>
      </c>
      <c r="D8" s="266">
        <v>30</v>
      </c>
      <c r="E8" s="284">
        <v>0</v>
      </c>
      <c r="F8" s="278">
        <v>0</v>
      </c>
      <c r="G8" s="278">
        <v>15.104166666666664</v>
      </c>
      <c r="H8" s="278">
        <v>15.104166666666664</v>
      </c>
      <c r="I8" s="278">
        <v>0</v>
      </c>
      <c r="J8" s="278">
        <v>0</v>
      </c>
      <c r="K8" s="278"/>
      <c r="L8" s="278"/>
      <c r="M8" s="278"/>
      <c r="N8" s="278"/>
      <c r="O8" s="278"/>
      <c r="P8" s="278"/>
      <c r="Q8" s="278"/>
      <c r="R8" s="278"/>
      <c r="S8" s="284"/>
      <c r="T8" s="248"/>
      <c r="U8" s="248"/>
    </row>
    <row r="9" spans="1:21" x14ac:dyDescent="0.3">
      <c r="A9" s="282">
        <f t="shared" si="0"/>
        <v>46155</v>
      </c>
      <c r="B9" s="283">
        <v>2</v>
      </c>
      <c r="C9" s="265">
        <v>36</v>
      </c>
      <c r="D9" s="266">
        <v>66</v>
      </c>
      <c r="E9" s="284">
        <v>0</v>
      </c>
      <c r="F9" s="278">
        <v>0</v>
      </c>
      <c r="G9" s="278">
        <v>17.1875</v>
      </c>
      <c r="H9" s="278">
        <v>32.291666666666664</v>
      </c>
      <c r="I9" s="278">
        <v>0</v>
      </c>
      <c r="J9" s="278">
        <v>0</v>
      </c>
      <c r="K9" s="278"/>
      <c r="L9" s="278"/>
      <c r="M9" s="278"/>
      <c r="N9" s="278"/>
      <c r="O9" s="278"/>
      <c r="P9" s="278"/>
      <c r="Q9" s="278"/>
      <c r="R9" s="278"/>
      <c r="S9" s="284"/>
      <c r="T9" s="248"/>
      <c r="U9" s="248"/>
    </row>
    <row r="10" spans="1:21" x14ac:dyDescent="0.3">
      <c r="A10" s="282">
        <f t="shared" si="0"/>
        <v>46162</v>
      </c>
      <c r="B10" s="283">
        <v>3</v>
      </c>
      <c r="C10" s="265">
        <v>48</v>
      </c>
      <c r="D10" s="266">
        <v>114</v>
      </c>
      <c r="E10" s="284">
        <v>0</v>
      </c>
      <c r="F10" s="278">
        <v>0</v>
      </c>
      <c r="G10" s="278">
        <v>24.479166666666668</v>
      </c>
      <c r="H10" s="278">
        <v>56.770833333333329</v>
      </c>
      <c r="I10" s="278">
        <v>0</v>
      </c>
      <c r="J10" s="278">
        <v>0</v>
      </c>
      <c r="K10" s="278"/>
      <c r="L10" s="278"/>
      <c r="M10" s="278"/>
      <c r="N10" s="278"/>
      <c r="O10" s="278"/>
      <c r="P10" s="278"/>
      <c r="Q10" s="278"/>
      <c r="R10" s="278"/>
      <c r="S10" s="284"/>
      <c r="T10" s="248"/>
      <c r="U10" s="248"/>
    </row>
    <row r="11" spans="1:21" x14ac:dyDescent="0.3">
      <c r="A11" s="282">
        <f t="shared" si="0"/>
        <v>46169</v>
      </c>
      <c r="B11" s="283">
        <v>4</v>
      </c>
      <c r="C11" s="265">
        <v>54</v>
      </c>
      <c r="D11" s="266">
        <v>168</v>
      </c>
      <c r="E11" s="284"/>
      <c r="F11" s="278"/>
      <c r="G11" s="278">
        <v>27.083333333333332</v>
      </c>
      <c r="H11" s="278">
        <v>83.854166666666657</v>
      </c>
      <c r="I11" s="278"/>
      <c r="J11" s="278"/>
      <c r="K11" s="278"/>
      <c r="L11" s="278"/>
      <c r="M11" s="278"/>
      <c r="N11" s="278"/>
      <c r="O11" s="278"/>
      <c r="P11" s="278"/>
      <c r="Q11" s="278"/>
      <c r="R11" s="278"/>
      <c r="S11" s="284"/>
      <c r="T11" s="248"/>
      <c r="U11" s="248"/>
    </row>
    <row r="12" spans="1:21" x14ac:dyDescent="0.3">
      <c r="A12" s="282">
        <f t="shared" si="0"/>
        <v>46176</v>
      </c>
      <c r="B12" s="283">
        <v>5</v>
      </c>
      <c r="C12" s="265">
        <v>50</v>
      </c>
      <c r="D12" s="266">
        <v>218</v>
      </c>
      <c r="E12" s="284"/>
      <c r="F12" s="278"/>
      <c r="G12" s="278">
        <v>16.145833333333332</v>
      </c>
      <c r="H12" s="278">
        <v>99.999999999999986</v>
      </c>
      <c r="I12" s="278"/>
      <c r="J12" s="278"/>
      <c r="K12" s="278"/>
      <c r="L12" s="278"/>
      <c r="M12" s="278"/>
      <c r="N12" s="278"/>
      <c r="O12" s="278"/>
      <c r="P12" s="278"/>
      <c r="Q12" s="278"/>
      <c r="R12" s="278"/>
      <c r="S12" s="284"/>
      <c r="T12" s="248"/>
      <c r="U12" s="248"/>
    </row>
    <row r="13" spans="1:21" x14ac:dyDescent="0.3">
      <c r="A13" s="282">
        <f t="shared" si="0"/>
        <v>46183</v>
      </c>
      <c r="B13" s="283">
        <v>6</v>
      </c>
      <c r="C13" s="265">
        <v>42</v>
      </c>
      <c r="D13" s="266">
        <v>260</v>
      </c>
      <c r="E13" s="284"/>
      <c r="F13" s="278"/>
      <c r="G13" s="278">
        <v>0</v>
      </c>
      <c r="H13" s="278">
        <v>99.999999999999986</v>
      </c>
      <c r="I13" s="278"/>
      <c r="J13" s="278"/>
      <c r="K13" s="278"/>
      <c r="L13" s="278"/>
      <c r="M13" s="278"/>
      <c r="N13" s="278"/>
      <c r="O13" s="278"/>
      <c r="P13" s="278"/>
      <c r="Q13" s="278"/>
      <c r="R13" s="278"/>
      <c r="S13" s="284"/>
      <c r="T13" s="248"/>
      <c r="U13" s="248"/>
    </row>
    <row r="14" spans="1:21" x14ac:dyDescent="0.3">
      <c r="A14" s="282">
        <f t="shared" si="0"/>
        <v>46190</v>
      </c>
      <c r="B14" s="283">
        <v>7</v>
      </c>
      <c r="C14" s="265">
        <v>30</v>
      </c>
      <c r="D14" s="266">
        <v>290</v>
      </c>
      <c r="E14" s="284"/>
      <c r="F14" s="278"/>
      <c r="G14" s="278">
        <v>0</v>
      </c>
      <c r="H14" s="278">
        <v>99.999999999999986</v>
      </c>
      <c r="I14" s="278"/>
      <c r="J14" s="278"/>
      <c r="K14" s="278"/>
      <c r="L14" s="278"/>
      <c r="M14" s="278"/>
      <c r="N14" s="278"/>
      <c r="O14" s="278"/>
      <c r="P14" s="278"/>
      <c r="Q14" s="278"/>
      <c r="R14" s="278"/>
      <c r="S14" s="284"/>
      <c r="T14" s="248"/>
      <c r="U14" s="248"/>
    </row>
    <row r="15" spans="1:21" x14ac:dyDescent="0.3">
      <c r="A15" s="282">
        <f t="shared" si="0"/>
        <v>46197</v>
      </c>
      <c r="B15" s="283">
        <v>8</v>
      </c>
      <c r="C15" s="265">
        <v>20</v>
      </c>
      <c r="D15" s="266">
        <v>310</v>
      </c>
      <c r="E15" s="284"/>
      <c r="F15" s="278"/>
      <c r="G15" s="278">
        <v>0</v>
      </c>
      <c r="H15" s="278">
        <v>99.999999999999986</v>
      </c>
      <c r="I15" s="278"/>
      <c r="J15" s="278"/>
      <c r="K15" s="278"/>
      <c r="L15" s="278"/>
      <c r="M15" s="278"/>
      <c r="N15" s="278"/>
      <c r="O15" s="278"/>
      <c r="P15" s="278"/>
      <c r="Q15" s="278"/>
      <c r="R15" s="278"/>
      <c r="S15" s="284"/>
      <c r="T15" s="248"/>
      <c r="U15" s="248"/>
    </row>
    <row r="16" spans="1:21" x14ac:dyDescent="0.3">
      <c r="A16" s="282"/>
      <c r="B16" s="283"/>
      <c r="C16" s="265"/>
      <c r="D16" s="266"/>
      <c r="E16" s="284"/>
      <c r="F16" s="278"/>
      <c r="G16" s="278"/>
      <c r="H16" s="278"/>
      <c r="I16" s="278"/>
      <c r="J16" s="278"/>
      <c r="K16" s="278"/>
      <c r="L16" s="278"/>
      <c r="M16" s="278"/>
      <c r="N16" s="278"/>
      <c r="O16" s="278"/>
      <c r="P16" s="278"/>
      <c r="Q16" s="278"/>
      <c r="R16" s="278"/>
      <c r="S16" s="284"/>
      <c r="T16" s="248"/>
      <c r="U16" s="248"/>
    </row>
    <row r="17" spans="3:21" x14ac:dyDescent="0.3">
      <c r="C17" s="265"/>
      <c r="D17" s="266"/>
      <c r="E17" s="284"/>
      <c r="F17" s="278"/>
      <c r="G17" s="278"/>
      <c r="H17" s="278"/>
      <c r="I17" s="278"/>
      <c r="J17" s="278"/>
      <c r="K17" s="278"/>
      <c r="L17" s="278"/>
      <c r="M17" s="278"/>
      <c r="N17" s="278"/>
      <c r="O17" s="278"/>
      <c r="P17" s="278"/>
      <c r="Q17" s="278"/>
      <c r="R17" s="278"/>
      <c r="S17" s="284"/>
      <c r="T17" s="248"/>
      <c r="U17" s="248"/>
    </row>
    <row r="18" spans="3:21" x14ac:dyDescent="0.3">
      <c r="C18" s="265"/>
      <c r="D18" s="266"/>
      <c r="E18" s="284"/>
      <c r="F18" s="278"/>
      <c r="G18" s="278"/>
      <c r="H18" s="278"/>
      <c r="I18" s="278"/>
      <c r="J18" s="278"/>
      <c r="K18" s="278"/>
      <c r="L18" s="278"/>
      <c r="M18" s="278"/>
      <c r="N18" s="278"/>
      <c r="O18" s="278"/>
      <c r="P18" s="278"/>
      <c r="Q18" s="278"/>
      <c r="R18" s="278"/>
      <c r="S18" s="284"/>
      <c r="T18" s="248"/>
      <c r="U18" s="248"/>
    </row>
    <row r="19" spans="3:21" x14ac:dyDescent="0.3">
      <c r="C19" s="265"/>
      <c r="D19" s="266"/>
      <c r="E19" s="284"/>
      <c r="F19" s="278"/>
      <c r="G19" s="278"/>
      <c r="H19" s="278"/>
      <c r="I19" s="278"/>
      <c r="J19" s="278"/>
      <c r="K19" s="278"/>
      <c r="L19" s="278"/>
      <c r="M19" s="278"/>
      <c r="N19" s="278"/>
      <c r="O19" s="278"/>
      <c r="P19" s="278"/>
      <c r="Q19" s="278"/>
      <c r="R19" s="278"/>
      <c r="S19" s="284"/>
      <c r="T19" s="248"/>
      <c r="U19" s="248"/>
    </row>
    <row r="20" spans="3:21" x14ac:dyDescent="0.3">
      <c r="C20" s="284"/>
      <c r="D20" s="278"/>
      <c r="E20" s="284"/>
      <c r="F20" s="278"/>
      <c r="G20" s="278"/>
      <c r="H20" s="278"/>
      <c r="I20" s="278"/>
      <c r="J20" s="278"/>
      <c r="K20" s="278"/>
      <c r="L20" s="278"/>
      <c r="M20" s="278"/>
      <c r="N20" s="278"/>
      <c r="O20" s="278"/>
      <c r="P20" s="278"/>
      <c r="Q20" s="278"/>
      <c r="R20" s="278"/>
      <c r="S20" s="284"/>
      <c r="T20" s="248"/>
      <c r="U20" s="248"/>
    </row>
    <row r="21" spans="3:21" x14ac:dyDescent="0.3">
      <c r="C21" s="284"/>
      <c r="D21" s="278"/>
      <c r="E21" s="284"/>
      <c r="F21" s="278"/>
      <c r="G21" s="278"/>
      <c r="H21" s="278"/>
      <c r="I21" s="278"/>
      <c r="J21" s="278"/>
      <c r="K21" s="278"/>
      <c r="L21" s="278"/>
      <c r="M21" s="278"/>
      <c r="N21" s="278"/>
      <c r="O21" s="278"/>
      <c r="P21" s="278"/>
      <c r="Q21" s="278"/>
      <c r="R21" s="278"/>
      <c r="S21" s="284"/>
      <c r="T21" s="248"/>
      <c r="U21" s="248"/>
    </row>
    <row r="22" spans="3:21" x14ac:dyDescent="0.3">
      <c r="C22" s="284"/>
      <c r="D22" s="278"/>
      <c r="E22" s="284"/>
      <c r="F22" s="278"/>
      <c r="G22" s="278"/>
      <c r="H22" s="278"/>
      <c r="I22" s="278"/>
      <c r="J22" s="278"/>
      <c r="K22" s="278"/>
      <c r="L22" s="278"/>
      <c r="M22" s="278"/>
      <c r="N22" s="278"/>
      <c r="O22" s="278"/>
      <c r="P22" s="278"/>
      <c r="Q22" s="278"/>
      <c r="R22" s="278"/>
      <c r="S22" s="284"/>
      <c r="T22" s="248"/>
      <c r="U22" s="248"/>
    </row>
    <row r="23" spans="3:21" x14ac:dyDescent="0.3">
      <c r="C23" s="284"/>
      <c r="D23" s="278"/>
      <c r="E23" s="284"/>
      <c r="F23" s="278"/>
      <c r="G23" s="278"/>
      <c r="H23" s="278"/>
      <c r="I23" s="278"/>
      <c r="J23" s="278"/>
      <c r="K23" s="278"/>
      <c r="L23" s="278"/>
      <c r="M23" s="278"/>
      <c r="N23" s="278"/>
      <c r="O23" s="278"/>
      <c r="P23" s="278"/>
      <c r="Q23" s="278"/>
      <c r="R23" s="278"/>
      <c r="S23" s="284"/>
      <c r="T23" s="248"/>
      <c r="U23" s="248"/>
    </row>
    <row r="24" spans="3:21" x14ac:dyDescent="0.3">
      <c r="C24" s="284"/>
      <c r="D24" s="278"/>
      <c r="E24" s="284"/>
      <c r="F24" s="278"/>
      <c r="G24" s="278"/>
      <c r="H24" s="278"/>
      <c r="I24" s="278"/>
      <c r="J24" s="278"/>
      <c r="K24" s="278"/>
      <c r="L24" s="278"/>
      <c r="M24" s="278"/>
      <c r="N24" s="278"/>
      <c r="O24" s="278"/>
      <c r="P24" s="278"/>
      <c r="Q24" s="278"/>
      <c r="R24" s="278"/>
      <c r="S24" s="284"/>
      <c r="T24" s="248"/>
      <c r="U24" s="248"/>
    </row>
    <row r="25" spans="3:21" x14ac:dyDescent="0.3">
      <c r="C25" s="284"/>
      <c r="D25" s="278"/>
      <c r="E25" s="284"/>
      <c r="F25" s="278"/>
      <c r="G25" s="278"/>
      <c r="H25" s="278"/>
      <c r="I25" s="278"/>
      <c r="J25" s="278"/>
      <c r="K25" s="278"/>
      <c r="L25" s="278"/>
      <c r="M25" s="278"/>
      <c r="N25" s="278"/>
      <c r="O25" s="278"/>
      <c r="P25" s="278"/>
      <c r="Q25" s="278"/>
      <c r="R25" s="278"/>
      <c r="S25" s="284"/>
      <c r="T25" s="248"/>
      <c r="U25" s="248"/>
    </row>
    <row r="26" spans="3:21" x14ac:dyDescent="0.3">
      <c r="C26" s="284"/>
      <c r="D26" s="278"/>
      <c r="E26" s="284"/>
      <c r="F26" s="278"/>
      <c r="G26" s="278"/>
      <c r="H26" s="278"/>
      <c r="I26" s="278"/>
      <c r="J26" s="278"/>
      <c r="K26" s="278"/>
      <c r="L26" s="278"/>
      <c r="M26" s="278"/>
      <c r="N26" s="278"/>
      <c r="O26" s="278"/>
      <c r="P26" s="278"/>
      <c r="Q26" s="278"/>
      <c r="R26" s="278"/>
      <c r="S26" s="284"/>
      <c r="T26" s="248"/>
      <c r="U26" s="248"/>
    </row>
    <row r="27" spans="3:21" x14ac:dyDescent="0.3">
      <c r="C27" s="284"/>
      <c r="D27" s="278"/>
      <c r="E27" s="284"/>
      <c r="F27" s="278"/>
      <c r="G27" s="278"/>
      <c r="H27" s="278"/>
      <c r="I27" s="278"/>
      <c r="J27" s="278"/>
      <c r="K27" s="278"/>
      <c r="L27" s="278"/>
      <c r="M27" s="278"/>
      <c r="N27" s="278"/>
      <c r="O27" s="278"/>
      <c r="P27" s="278"/>
      <c r="Q27" s="278"/>
      <c r="R27" s="278"/>
      <c r="S27" s="284"/>
      <c r="T27" s="248"/>
      <c r="U27" s="248"/>
    </row>
    <row r="28" spans="3:21" x14ac:dyDescent="0.3">
      <c r="C28" s="284"/>
      <c r="D28" s="278"/>
      <c r="E28" s="284"/>
      <c r="F28" s="278"/>
      <c r="G28" s="278"/>
      <c r="H28" s="278"/>
      <c r="I28" s="278"/>
      <c r="J28" s="278"/>
      <c r="K28" s="278"/>
      <c r="L28" s="278"/>
      <c r="M28" s="278"/>
      <c r="N28" s="278"/>
      <c r="O28" s="278"/>
      <c r="P28" s="278"/>
      <c r="Q28" s="278"/>
      <c r="R28" s="278"/>
      <c r="S28" s="284"/>
      <c r="T28" s="248"/>
      <c r="U28" s="248"/>
    </row>
    <row r="29" spans="3:21" x14ac:dyDescent="0.3">
      <c r="C29" s="284"/>
      <c r="D29" s="278"/>
      <c r="E29" s="284"/>
      <c r="F29" s="278"/>
      <c r="G29" s="278"/>
      <c r="H29" s="278"/>
      <c r="I29" s="278"/>
      <c r="J29" s="278"/>
      <c r="K29" s="278"/>
      <c r="L29" s="278"/>
      <c r="M29" s="278"/>
      <c r="N29" s="278"/>
      <c r="O29" s="278"/>
      <c r="P29" s="278"/>
      <c r="Q29" s="278"/>
      <c r="R29" s="278"/>
      <c r="S29" s="284"/>
      <c r="T29" s="248"/>
      <c r="U29" s="248"/>
    </row>
    <row r="30" spans="3:21" x14ac:dyDescent="0.3">
      <c r="C30" s="284"/>
      <c r="D30" s="278"/>
      <c r="E30" s="284"/>
      <c r="F30" s="278"/>
      <c r="G30" s="278"/>
      <c r="H30" s="278"/>
      <c r="I30" s="278"/>
      <c r="J30" s="278"/>
      <c r="K30" s="278"/>
      <c r="L30" s="278"/>
      <c r="M30" s="278"/>
      <c r="N30" s="278"/>
      <c r="O30" s="278"/>
      <c r="P30" s="278"/>
      <c r="Q30" s="278"/>
      <c r="R30" s="278"/>
      <c r="S30" s="284"/>
      <c r="T30" s="248"/>
      <c r="U30" s="248"/>
    </row>
    <row r="31" spans="3:21" x14ac:dyDescent="0.3">
      <c r="C31" s="284"/>
      <c r="D31" s="278"/>
      <c r="E31" s="284"/>
      <c r="F31" s="278"/>
      <c r="G31" s="278"/>
      <c r="H31" s="278"/>
      <c r="I31" s="278"/>
      <c r="J31" s="278"/>
      <c r="K31" s="278"/>
      <c r="L31" s="278"/>
      <c r="M31" s="278"/>
      <c r="N31" s="278"/>
      <c r="O31" s="278"/>
      <c r="P31" s="278"/>
      <c r="Q31" s="278"/>
      <c r="R31" s="278"/>
      <c r="S31" s="284"/>
      <c r="T31" s="248"/>
      <c r="U31" s="248"/>
    </row>
    <row r="32" spans="3:21" x14ac:dyDescent="0.3">
      <c r="C32" s="284"/>
      <c r="D32" s="278"/>
      <c r="E32" s="284"/>
      <c r="F32" s="278"/>
      <c r="G32" s="278"/>
      <c r="H32" s="278"/>
      <c r="I32" s="278"/>
      <c r="J32" s="278"/>
      <c r="K32" s="278"/>
      <c r="L32" s="278"/>
      <c r="M32" s="278"/>
      <c r="N32" s="278"/>
      <c r="O32" s="278"/>
      <c r="P32" s="278"/>
      <c r="Q32" s="278"/>
      <c r="R32" s="278"/>
      <c r="S32" s="284"/>
      <c r="T32" s="248"/>
      <c r="U32" s="248"/>
    </row>
    <row r="33" spans="21:21" x14ac:dyDescent="0.3">
      <c r="U33" s="248"/>
    </row>
    <row r="34" spans="21:21" x14ac:dyDescent="0.3">
      <c r="U34" s="248"/>
    </row>
    <row r="35" spans="21:21" x14ac:dyDescent="0.3">
      <c r="U35" s="248"/>
    </row>
    <row r="36" spans="21:21" x14ac:dyDescent="0.3">
      <c r="U36" s="248"/>
    </row>
    <row r="37" spans="21:21" x14ac:dyDescent="0.3">
      <c r="U37" s="248"/>
    </row>
    <row r="38" spans="21:21" x14ac:dyDescent="0.3">
      <c r="U38" s="248"/>
    </row>
    <row r="39" spans="21:21" x14ac:dyDescent="0.3">
      <c r="U39" s="248"/>
    </row>
    <row r="40" spans="21:21" x14ac:dyDescent="0.3">
      <c r="U40" s="248"/>
    </row>
    <row r="41" spans="21:21" x14ac:dyDescent="0.3">
      <c r="U41" s="248"/>
    </row>
    <row r="42" spans="21:21" x14ac:dyDescent="0.3">
      <c r="U42" s="248"/>
    </row>
    <row r="43" spans="21:21" x14ac:dyDescent="0.3">
      <c r="U43" s="248"/>
    </row>
    <row r="44" spans="21:21" x14ac:dyDescent="0.3">
      <c r="U44" s="248"/>
    </row>
    <row r="45" spans="21:21" x14ac:dyDescent="0.3">
      <c r="U45" s="248"/>
    </row>
    <row r="46" spans="21:21" x14ac:dyDescent="0.3">
      <c r="U46" s="248"/>
    </row>
    <row r="47" spans="21:21" x14ac:dyDescent="0.3">
      <c r="U47" s="248"/>
    </row>
    <row r="48" spans="21:21" x14ac:dyDescent="0.3">
      <c r="U48" s="248"/>
    </row>
    <row r="49" spans="21:21" x14ac:dyDescent="0.3">
      <c r="U49" s="248"/>
    </row>
    <row r="50" spans="21:21" x14ac:dyDescent="0.3">
      <c r="U50" s="248"/>
    </row>
    <row r="51" spans="21:21" x14ac:dyDescent="0.3">
      <c r="U51" s="248"/>
    </row>
    <row r="52" spans="21:21" x14ac:dyDescent="0.3">
      <c r="U52" s="248"/>
    </row>
    <row r="53" spans="21:21" x14ac:dyDescent="0.3">
      <c r="U53" s="248"/>
    </row>
    <row r="54" spans="21:21" x14ac:dyDescent="0.3">
      <c r="U54" s="248"/>
    </row>
    <row r="55" spans="21:21" x14ac:dyDescent="0.3">
      <c r="U55" s="248"/>
    </row>
    <row r="56" spans="21:21" x14ac:dyDescent="0.3">
      <c r="U56" s="248"/>
    </row>
    <row r="57" spans="21:21" x14ac:dyDescent="0.3">
      <c r="U57" s="248"/>
    </row>
    <row r="58" spans="21:21" x14ac:dyDescent="0.3">
      <c r="U58" s="248"/>
    </row>
    <row r="59" spans="21:21" x14ac:dyDescent="0.3">
      <c r="U59" s="248"/>
    </row>
    <row r="60" spans="21:21" x14ac:dyDescent="0.3">
      <c r="U60" s="248"/>
    </row>
    <row r="61" spans="21:21" x14ac:dyDescent="0.3">
      <c r="U61" s="248"/>
    </row>
    <row r="62" spans="21:21" x14ac:dyDescent="0.3">
      <c r="U62" s="248"/>
    </row>
    <row r="63" spans="21:21" x14ac:dyDescent="0.3">
      <c r="U63" s="248"/>
    </row>
    <row r="64" spans="21:21" x14ac:dyDescent="0.3">
      <c r="U64" s="248"/>
    </row>
    <row r="65" spans="21:21" x14ac:dyDescent="0.3">
      <c r="U65" s="248"/>
    </row>
    <row r="66" spans="21:21" x14ac:dyDescent="0.3">
      <c r="U66" s="248"/>
    </row>
    <row r="67" spans="21:21" x14ac:dyDescent="0.3">
      <c r="U67" s="248"/>
    </row>
  </sheetData>
  <phoneticPr fontId="2" type="noConversion"/>
  <dataValidations count="4">
    <dataValidation type="decimal" operator="greaterThanOrEqual" allowBlank="1" showInputMessage="1" showErrorMessage="1" error="Plan hours must be greater than or equal to zero." sqref="D2:E6 C1:C6 C9:C65536" xr:uid="{ECF8E3C3-44AE-436B-90A1-AD008428AAB1}">
      <formula1>0</formula1>
    </dataValidation>
    <dataValidation type="decimal" operator="greaterThanOrEqual" allowBlank="1" showInputMessage="1" showErrorMessage="1" error="Actual hours must be greater than or equal to zero." sqref="E1 E9:E65536" xr:uid="{77DDACDC-D92B-4F21-A49A-F693C97A09D8}">
      <formula1>0</formula1>
    </dataValidation>
    <dataValidation type="decimal" operator="greaterThanOrEqual" allowBlank="1" showInputMessage="1" showErrorMessage="1" error="Plan hours must be greater than or equal to zero." promptTitle="Planned Hours" prompt="Enter the planned hours for the week number and date shown." sqref="C7" xr:uid="{C68CE45E-5939-460E-BF9A-F1F58CACB4F2}">
      <formula1>0</formula1>
    </dataValidation>
    <dataValidation type="decimal" operator="greaterThanOrEqual" allowBlank="1" showInputMessage="1" showErrorMessage="1" error="Actual hours must be greater than or equal to zero." promptTitle="Actual Hours" prompt="Actual hours are rolled up automatically from the time log. Enter the actual hours per week ONLY if the time log is not being used and the Use Time Log option on worksheet Project is NOT selected." sqref="E7" xr:uid="{BDADA599-A5A5-4E84-8FF0-EDC397596606}">
      <formula1>0</formula1>
    </dataValidation>
  </dataValidations>
  <printOptions gridLines="1"/>
  <pageMargins left="0.75" right="0.75" top="1" bottom="1" header="0.5" footer="0.5"/>
  <pageSetup scale="80" orientation="landscape"/>
  <headerFooter alignWithMargins="0">
    <oddFooter>&amp;L File: &amp;F ! &amp;A&amp;R&amp;D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36C0F-C8D7-441B-9B32-0ABA8626737F}">
  <sheetPr codeName="RISK"/>
  <dimension ref="B1:G2"/>
  <sheetViews>
    <sheetView showRowColHeaders="0" zoomScaleNormal="100" workbookViewId="0">
      <pane ySplit="1" topLeftCell="A2" activePane="bottomLeft" state="frozenSplit"/>
      <selection pane="bottomLeft" activeCell="B2" sqref="B2"/>
    </sheetView>
  </sheetViews>
  <sheetFormatPr baseColWidth="10" defaultColWidth="9.1328125" defaultRowHeight="12.75" x14ac:dyDescent="0.35"/>
  <cols>
    <col min="1" max="1" width="3.73046875" style="1" customWidth="1"/>
    <col min="2" max="2" width="50.73046875" style="22" customWidth="1"/>
    <col min="3" max="7" width="10.73046875" style="22" customWidth="1"/>
    <col min="8" max="16384" width="9.1328125" style="1"/>
  </cols>
  <sheetData>
    <row r="1" spans="2:7" ht="26.25" customHeight="1" x14ac:dyDescent="0.35">
      <c r="B1" s="1" t="s">
        <v>589</v>
      </c>
      <c r="C1" s="24" t="s">
        <v>590</v>
      </c>
      <c r="D1" s="24" t="s">
        <v>591</v>
      </c>
      <c r="E1" s="24" t="s">
        <v>592</v>
      </c>
      <c r="F1" s="24" t="s">
        <v>593</v>
      </c>
      <c r="G1" s="24" t="s">
        <v>314</v>
      </c>
    </row>
    <row r="2" spans="2:7" x14ac:dyDescent="0.35">
      <c r="G2" s="23"/>
    </row>
  </sheetData>
  <sheetProtection sheet="1" objects="1" scenarios="1"/>
  <phoneticPr fontId="2" type="noConversion"/>
  <dataValidations count="1">
    <dataValidation type="list" allowBlank="1" showInputMessage="1" showErrorMessage="1" sqref="C1:D1048576" xr:uid="{E1BC7DE1-86F6-460D-B44E-670E223432A2}">
      <formula1>"H,M,L"</formula1>
    </dataValidation>
  </dataValidations>
  <pageMargins left="0.75" right="0.75" top="1" bottom="1" header="0.5" footer="0.5"/>
  <pageSetup orientation="landscape"/>
  <headerFooter alignWithMargins="0">
    <oddFooter>&amp;LCopyright James W. Over 1998&amp;C:  &amp;F &amp;A&amp;R&amp;D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8534D-3727-4A26-BC07-45DA4FAAEAD9}">
  <sheetPr codeName="LOGT"/>
  <dimension ref="A1:I416"/>
  <sheetViews>
    <sheetView showRowColHeaders="0" tabSelected="1" workbookViewId="0">
      <pane ySplit="6" topLeftCell="A7" activePane="bottomLeft" state="frozenSplit"/>
      <selection activeCell="C4" sqref="C4"/>
      <selection pane="bottomLeft" activeCell="D14" sqref="D14"/>
    </sheetView>
  </sheetViews>
  <sheetFormatPr baseColWidth="10" defaultColWidth="9.1328125" defaultRowHeight="10.15" x14ac:dyDescent="0.3"/>
  <cols>
    <col min="1" max="1" width="10.265625" style="28" bestFit="1" customWidth="1"/>
    <col min="2" max="2" width="8.73046875" style="28" customWidth="1"/>
    <col min="3" max="3" width="25.73046875" style="28" customWidth="1"/>
    <col min="4" max="4" width="8.1328125" style="144" customWidth="1"/>
    <col min="5" max="5" width="8.1328125" style="61" customWidth="1"/>
    <col min="6" max="6" width="8.1328125" style="27" customWidth="1"/>
    <col min="7" max="7" width="8.1328125" style="61" customWidth="1"/>
    <col min="8" max="8" width="8.1328125" style="128" customWidth="1"/>
    <col min="9" max="9" width="45.73046875" style="28" customWidth="1"/>
    <col min="10" max="10" width="8.3984375" style="29" customWidth="1"/>
    <col min="11" max="11" width="7.1328125" style="29" customWidth="1"/>
    <col min="12" max="16384" width="9.1328125" style="29"/>
  </cols>
  <sheetData>
    <row r="1" spans="1:9" s="1" customFormat="1" ht="15" x14ac:dyDescent="0.4">
      <c r="A1" s="64" t="str">
        <f>[0]!TSPProcessName &amp; " Time Recording Log - Form LOGT"</f>
        <v>TSPi Time Recording Log - Form LOGT</v>
      </c>
      <c r="B1" s="64"/>
      <c r="C1" s="64"/>
      <c r="D1" s="141"/>
      <c r="E1" s="64"/>
      <c r="F1" s="92"/>
      <c r="G1" s="64"/>
      <c r="H1" s="64"/>
      <c r="I1" s="64"/>
    </row>
    <row r="2" spans="1:9" s="1" customFormat="1" ht="12.75" x14ac:dyDescent="0.35">
      <c r="A2" s="38" t="s">
        <v>312</v>
      </c>
      <c r="B2" s="350" t="str">
        <f>IF(Name=0,"",Name)</f>
        <v>Isaac Diaz Perez</v>
      </c>
      <c r="C2" s="350"/>
      <c r="D2" s="152"/>
      <c r="E2" s="38" t="s">
        <v>314</v>
      </c>
      <c r="F2" s="357">
        <f ca="1">currentDate</f>
        <v>46182</v>
      </c>
      <c r="G2" s="358"/>
    </row>
    <row r="3" spans="1:9" s="1" customFormat="1" ht="12.75" x14ac:dyDescent="0.35">
      <c r="A3" s="38" t="s">
        <v>14</v>
      </c>
      <c r="B3" s="353" t="str">
        <f>IF(TeamName=0,"",TeamName)</f>
        <v>TSP-GRUPO B02-SUBGRUPO 3</v>
      </c>
      <c r="C3" s="353"/>
      <c r="D3" s="152"/>
      <c r="E3" s="38" t="str">
        <f>IF(Project!C5&lt;&gt;"",Project!C5,"")</f>
        <v>Instructor</v>
      </c>
      <c r="F3" s="356" t="str">
        <f>IF(InstructorName=0,"",InstructorName)</f>
        <v>Natalia Martinez Rojas</v>
      </c>
      <c r="G3" s="359"/>
    </row>
    <row r="4" spans="1:9" s="1" customFormat="1" ht="12.75" x14ac:dyDescent="0.35">
      <c r="A4" s="38"/>
      <c r="B4" s="57"/>
      <c r="C4" s="57"/>
      <c r="D4" s="142"/>
      <c r="E4" s="38" t="s">
        <v>327</v>
      </c>
      <c r="F4" s="356">
        <f>IF(Cycle=0,"",Cycle)</f>
        <v>1</v>
      </c>
      <c r="G4" s="356"/>
    </row>
    <row r="5" spans="1:9" s="1" customFormat="1" ht="12.75" x14ac:dyDescent="0.35">
      <c r="A5" s="36"/>
      <c r="B5" s="36"/>
      <c r="C5" s="36"/>
      <c r="D5" s="143"/>
      <c r="E5" s="38" t="s">
        <v>594</v>
      </c>
      <c r="F5" s="356">
        <f>SUM(H:H)/60</f>
        <v>0</v>
      </c>
      <c r="G5" s="356"/>
    </row>
    <row r="6" spans="1:9" s="26" customFormat="1" ht="24" customHeight="1" x14ac:dyDescent="0.3">
      <c r="A6" s="285" t="s">
        <v>326</v>
      </c>
      <c r="B6" s="285" t="s">
        <v>308</v>
      </c>
      <c r="C6" s="285" t="s">
        <v>30</v>
      </c>
      <c r="D6" s="286" t="s">
        <v>314</v>
      </c>
      <c r="E6" s="287" t="s">
        <v>595</v>
      </c>
      <c r="F6" s="288" t="s">
        <v>596</v>
      </c>
      <c r="G6" s="287" t="s">
        <v>597</v>
      </c>
      <c r="H6" s="288" t="s">
        <v>598</v>
      </c>
      <c r="I6" s="285" t="s">
        <v>208</v>
      </c>
    </row>
    <row r="7" spans="1:9" x14ac:dyDescent="0.3">
      <c r="A7" s="156" t="s">
        <v>493</v>
      </c>
      <c r="B7" s="156" t="s">
        <v>544</v>
      </c>
      <c r="C7" s="156" t="s">
        <v>692</v>
      </c>
      <c r="D7" s="289" t="s">
        <v>712</v>
      </c>
      <c r="E7" s="290" t="s">
        <v>713</v>
      </c>
      <c r="F7" s="265">
        <v>30</v>
      </c>
      <c r="G7" s="290" t="s">
        <v>714</v>
      </c>
      <c r="H7" s="266"/>
      <c r="I7" s="156" t="s">
        <v>715</v>
      </c>
    </row>
    <row r="8" spans="1:9" x14ac:dyDescent="0.3">
      <c r="A8" s="156" t="s">
        <v>493</v>
      </c>
      <c r="B8" s="156" t="s">
        <v>550</v>
      </c>
      <c r="C8" s="156" t="s">
        <v>696</v>
      </c>
      <c r="D8" s="291" t="s">
        <v>712</v>
      </c>
      <c r="E8" s="290" t="s">
        <v>713</v>
      </c>
      <c r="F8" s="265">
        <v>60</v>
      </c>
      <c r="G8" s="290" t="s">
        <v>716</v>
      </c>
      <c r="H8" s="266"/>
      <c r="I8" s="292" t="s">
        <v>717</v>
      </c>
    </row>
    <row r="9" spans="1:9" x14ac:dyDescent="0.3">
      <c r="A9" s="293" t="s">
        <v>493</v>
      </c>
      <c r="B9" s="293" t="s">
        <v>557</v>
      </c>
      <c r="C9" s="293" t="s">
        <v>702</v>
      </c>
      <c r="D9" s="294" t="s">
        <v>712</v>
      </c>
      <c r="E9" s="295" t="s">
        <v>713</v>
      </c>
      <c r="F9" s="296">
        <v>0</v>
      </c>
      <c r="G9" s="297" t="s">
        <v>718</v>
      </c>
      <c r="H9" s="298"/>
      <c r="I9" s="292" t="s">
        <v>719</v>
      </c>
    </row>
    <row r="10" spans="1:9" x14ac:dyDescent="0.3">
      <c r="A10" s="293" t="s">
        <v>493</v>
      </c>
      <c r="B10" s="293" t="s">
        <v>564</v>
      </c>
      <c r="C10" s="293" t="s">
        <v>708</v>
      </c>
      <c r="D10" s="294" t="s">
        <v>712</v>
      </c>
      <c r="E10" s="295" t="s">
        <v>713</v>
      </c>
      <c r="F10" s="296">
        <v>0</v>
      </c>
      <c r="G10" s="297" t="s">
        <v>720</v>
      </c>
      <c r="H10" s="298"/>
      <c r="I10" s="292" t="s">
        <v>721</v>
      </c>
    </row>
    <row r="11" spans="1:9" x14ac:dyDescent="0.3">
      <c r="A11" s="293" t="s">
        <v>493</v>
      </c>
      <c r="B11" s="293" t="s">
        <v>544</v>
      </c>
      <c r="C11" s="293" t="s">
        <v>693</v>
      </c>
      <c r="D11" s="294" t="s">
        <v>712</v>
      </c>
      <c r="E11" s="295" t="s">
        <v>713</v>
      </c>
      <c r="F11" s="296">
        <v>0</v>
      </c>
      <c r="G11" s="297" t="s">
        <v>722</v>
      </c>
      <c r="H11" s="298"/>
      <c r="I11" s="292" t="s">
        <v>723</v>
      </c>
    </row>
    <row r="12" spans="1:9" x14ac:dyDescent="0.3">
      <c r="A12" s="293" t="s">
        <v>493</v>
      </c>
      <c r="B12" s="293" t="s">
        <v>550</v>
      </c>
      <c r="C12" s="293" t="s">
        <v>697</v>
      </c>
      <c r="D12" s="294" t="s">
        <v>712</v>
      </c>
      <c r="E12" s="295" t="s">
        <v>713</v>
      </c>
      <c r="F12" s="296">
        <v>0</v>
      </c>
      <c r="G12" s="297" t="s">
        <v>724</v>
      </c>
      <c r="H12" s="298"/>
      <c r="I12" s="292" t="s">
        <v>725</v>
      </c>
    </row>
    <row r="13" spans="1:9" x14ac:dyDescent="0.3">
      <c r="A13" s="293" t="s">
        <v>493</v>
      </c>
      <c r="B13" s="293" t="s">
        <v>557</v>
      </c>
      <c r="C13" s="293" t="s">
        <v>703</v>
      </c>
      <c r="D13" s="294" t="s">
        <v>712</v>
      </c>
      <c r="E13" s="295" t="s">
        <v>726</v>
      </c>
      <c r="F13" s="296">
        <v>120</v>
      </c>
      <c r="G13" s="297" t="s">
        <v>727</v>
      </c>
      <c r="H13" s="298"/>
      <c r="I13" s="292" t="s">
        <v>728</v>
      </c>
    </row>
    <row r="14" spans="1:9" x14ac:dyDescent="0.3">
      <c r="A14" s="293" t="s">
        <v>493</v>
      </c>
      <c r="B14" s="293" t="s">
        <v>564</v>
      </c>
      <c r="C14" s="293" t="s">
        <v>709</v>
      </c>
      <c r="D14" s="294" t="s">
        <v>712</v>
      </c>
      <c r="E14" s="295" t="s">
        <v>713</v>
      </c>
      <c r="F14" s="296">
        <v>60</v>
      </c>
      <c r="G14" s="297" t="s">
        <v>714</v>
      </c>
      <c r="H14" s="298"/>
      <c r="I14" s="292" t="s">
        <v>729</v>
      </c>
    </row>
    <row r="15" spans="1:9" x14ac:dyDescent="0.3">
      <c r="A15" s="293" t="s">
        <v>493</v>
      </c>
      <c r="B15" s="293" t="s">
        <v>544</v>
      </c>
      <c r="C15" s="293" t="s">
        <v>694</v>
      </c>
      <c r="D15" s="294" t="s">
        <v>712</v>
      </c>
      <c r="E15" s="295" t="s">
        <v>713</v>
      </c>
      <c r="F15" s="296">
        <v>0</v>
      </c>
      <c r="G15" s="297" t="s">
        <v>730</v>
      </c>
      <c r="H15" s="298"/>
      <c r="I15" s="292" t="s">
        <v>731</v>
      </c>
    </row>
    <row r="16" spans="1:9" x14ac:dyDescent="0.3">
      <c r="A16" s="293" t="s">
        <v>493</v>
      </c>
      <c r="B16" s="293" t="s">
        <v>550</v>
      </c>
      <c r="C16" s="293" t="s">
        <v>698</v>
      </c>
      <c r="D16" s="294" t="s">
        <v>712</v>
      </c>
      <c r="E16" s="295" t="s">
        <v>713</v>
      </c>
      <c r="F16" s="296">
        <v>0</v>
      </c>
      <c r="G16" s="297" t="s">
        <v>730</v>
      </c>
      <c r="H16" s="298"/>
      <c r="I16" s="292" t="s">
        <v>732</v>
      </c>
    </row>
    <row r="17" spans="1:9" x14ac:dyDescent="0.3">
      <c r="A17" s="293" t="s">
        <v>493</v>
      </c>
      <c r="B17" s="293" t="s">
        <v>557</v>
      </c>
      <c r="C17" s="293" t="s">
        <v>704</v>
      </c>
      <c r="D17" s="294" t="s">
        <v>712</v>
      </c>
      <c r="E17" s="295" t="s">
        <v>713</v>
      </c>
      <c r="F17" s="296">
        <v>30</v>
      </c>
      <c r="G17" s="297" t="s">
        <v>733</v>
      </c>
      <c r="H17" s="298"/>
      <c r="I17" s="292" t="s">
        <v>734</v>
      </c>
    </row>
    <row r="18" spans="1:9" x14ac:dyDescent="0.3">
      <c r="A18" s="293" t="s">
        <v>493</v>
      </c>
      <c r="B18" s="293" t="s">
        <v>564</v>
      </c>
      <c r="C18" s="293" t="s">
        <v>710</v>
      </c>
      <c r="D18" s="294" t="s">
        <v>712</v>
      </c>
      <c r="E18" s="295" t="s">
        <v>713</v>
      </c>
      <c r="F18" s="296">
        <v>0</v>
      </c>
      <c r="G18" s="297" t="s">
        <v>720</v>
      </c>
      <c r="H18" s="298"/>
      <c r="I18" s="292" t="s">
        <v>735</v>
      </c>
    </row>
    <row r="19" spans="1:9" x14ac:dyDescent="0.3">
      <c r="A19" s="293" t="s">
        <v>493</v>
      </c>
      <c r="B19" s="293" t="s">
        <v>544</v>
      </c>
      <c r="C19" s="293" t="s">
        <v>695</v>
      </c>
      <c r="D19" s="294" t="s">
        <v>712</v>
      </c>
      <c r="E19" s="295" t="s">
        <v>713</v>
      </c>
      <c r="F19" s="296">
        <v>30</v>
      </c>
      <c r="G19" s="297" t="s">
        <v>730</v>
      </c>
      <c r="H19" s="298"/>
      <c r="I19" s="292" t="s">
        <v>736</v>
      </c>
    </row>
    <row r="20" spans="1:9" x14ac:dyDescent="0.3">
      <c r="A20" s="299" t="s">
        <v>493</v>
      </c>
      <c r="B20" s="156" t="s">
        <v>550</v>
      </c>
      <c r="C20" s="293" t="s">
        <v>699</v>
      </c>
      <c r="D20" s="294" t="s">
        <v>712</v>
      </c>
      <c r="E20" s="295" t="s">
        <v>713</v>
      </c>
      <c r="F20" s="296">
        <v>0</v>
      </c>
      <c r="G20" s="297" t="s">
        <v>720</v>
      </c>
      <c r="H20" s="298"/>
      <c r="I20" s="300" t="s">
        <v>737</v>
      </c>
    </row>
    <row r="21" spans="1:9" x14ac:dyDescent="0.3">
      <c r="A21" s="299" t="s">
        <v>493</v>
      </c>
      <c r="B21" s="156" t="s">
        <v>557</v>
      </c>
      <c r="C21" s="293" t="s">
        <v>705</v>
      </c>
      <c r="D21" s="294" t="s">
        <v>712</v>
      </c>
      <c r="E21" s="295" t="s">
        <v>713</v>
      </c>
      <c r="F21" s="296">
        <v>0</v>
      </c>
      <c r="G21" s="297" t="s">
        <v>738</v>
      </c>
      <c r="H21" s="298"/>
      <c r="I21" s="292" t="s">
        <v>739</v>
      </c>
    </row>
    <row r="22" spans="1:9" x14ac:dyDescent="0.3">
      <c r="A22" s="299" t="s">
        <v>493</v>
      </c>
      <c r="B22" s="156" t="s">
        <v>564</v>
      </c>
      <c r="C22" s="293" t="s">
        <v>711</v>
      </c>
      <c r="D22" s="294" t="s">
        <v>712</v>
      </c>
      <c r="E22" s="295" t="s">
        <v>726</v>
      </c>
      <c r="F22" s="296">
        <v>120</v>
      </c>
      <c r="G22" s="297" t="s">
        <v>740</v>
      </c>
      <c r="H22" s="298"/>
      <c r="I22" s="292" t="s">
        <v>741</v>
      </c>
    </row>
    <row r="23" spans="1:9" x14ac:dyDescent="0.3">
      <c r="A23" s="299" t="s">
        <v>493</v>
      </c>
      <c r="B23" s="156" t="s">
        <v>544</v>
      </c>
      <c r="C23" s="293" t="s">
        <v>692</v>
      </c>
      <c r="D23" s="294" t="s">
        <v>712</v>
      </c>
      <c r="E23" s="295" t="s">
        <v>713</v>
      </c>
      <c r="F23" s="296">
        <v>30</v>
      </c>
      <c r="G23" s="297" t="s">
        <v>720</v>
      </c>
      <c r="H23" s="298"/>
      <c r="I23" s="300" t="s">
        <v>742</v>
      </c>
    </row>
    <row r="24" spans="1:9" x14ac:dyDescent="0.3">
      <c r="A24" s="299" t="s">
        <v>493</v>
      </c>
      <c r="B24" s="156" t="s">
        <v>550</v>
      </c>
      <c r="C24" s="293" t="s">
        <v>700</v>
      </c>
      <c r="D24" s="294" t="s">
        <v>712</v>
      </c>
      <c r="E24" s="295" t="s">
        <v>713</v>
      </c>
      <c r="F24" s="296">
        <v>0</v>
      </c>
      <c r="G24" s="297" t="s">
        <v>720</v>
      </c>
      <c r="H24" s="298"/>
      <c r="I24" s="292" t="s">
        <v>743</v>
      </c>
    </row>
    <row r="25" spans="1:9" x14ac:dyDescent="0.3">
      <c r="A25" s="299" t="s">
        <v>493</v>
      </c>
      <c r="B25" s="156" t="s">
        <v>557</v>
      </c>
      <c r="C25" s="293" t="s">
        <v>706</v>
      </c>
      <c r="D25" s="294" t="s">
        <v>712</v>
      </c>
      <c r="E25" s="295" t="s">
        <v>713</v>
      </c>
      <c r="F25" s="296">
        <v>0</v>
      </c>
      <c r="G25" s="297" t="s">
        <v>733</v>
      </c>
      <c r="H25" s="298"/>
      <c r="I25" s="292" t="s">
        <v>744</v>
      </c>
    </row>
    <row r="26" spans="1:9" x14ac:dyDescent="0.3">
      <c r="A26" s="299" t="s">
        <v>493</v>
      </c>
      <c r="B26" s="156" t="s">
        <v>564</v>
      </c>
      <c r="C26" s="293" t="s">
        <v>708</v>
      </c>
      <c r="D26" s="294" t="s">
        <v>712</v>
      </c>
      <c r="E26" s="295" t="s">
        <v>713</v>
      </c>
      <c r="F26" s="296">
        <v>0</v>
      </c>
      <c r="G26" s="297" t="s">
        <v>738</v>
      </c>
      <c r="H26" s="298"/>
      <c r="I26" s="300" t="s">
        <v>745</v>
      </c>
    </row>
    <row r="27" spans="1:9" x14ac:dyDescent="0.3">
      <c r="A27" s="299"/>
      <c r="B27" s="156"/>
      <c r="C27" s="293"/>
      <c r="D27" s="294"/>
      <c r="E27" s="295"/>
      <c r="F27" s="296"/>
      <c r="G27" s="297"/>
      <c r="H27" s="298"/>
      <c r="I27" s="292"/>
    </row>
    <row r="28" spans="1:9" x14ac:dyDescent="0.3">
      <c r="A28" s="293"/>
      <c r="B28" s="293"/>
      <c r="C28" s="293"/>
      <c r="D28" s="294"/>
      <c r="E28" s="295"/>
      <c r="F28" s="296"/>
      <c r="G28" s="297"/>
      <c r="H28" s="298"/>
      <c r="I28" s="292"/>
    </row>
    <row r="29" spans="1:9" x14ac:dyDescent="0.3">
      <c r="A29" s="293"/>
      <c r="B29" s="156"/>
      <c r="C29" s="293"/>
      <c r="D29" s="294"/>
      <c r="E29" s="295"/>
      <c r="F29" s="296"/>
      <c r="G29" s="297"/>
      <c r="H29" s="298"/>
      <c r="I29" s="300"/>
    </row>
    <row r="30" spans="1:9" x14ac:dyDescent="0.3">
      <c r="A30" s="293"/>
      <c r="B30" s="156"/>
      <c r="C30" s="293"/>
      <c r="D30" s="294"/>
      <c r="E30" s="295"/>
      <c r="F30" s="296"/>
      <c r="G30" s="297"/>
      <c r="H30" s="298"/>
      <c r="I30" s="300"/>
    </row>
    <row r="31" spans="1:9" x14ac:dyDescent="0.3">
      <c r="A31" s="293"/>
      <c r="B31" s="156"/>
      <c r="C31" s="293"/>
      <c r="D31" s="294"/>
      <c r="E31" s="295"/>
      <c r="F31" s="296"/>
      <c r="G31" s="297"/>
      <c r="H31" s="298"/>
      <c r="I31" s="292"/>
    </row>
    <row r="32" spans="1:9" x14ac:dyDescent="0.3">
      <c r="A32" s="293"/>
      <c r="B32" s="156"/>
      <c r="C32" s="293"/>
      <c r="D32" s="301"/>
      <c r="E32" s="295"/>
      <c r="F32" s="296"/>
      <c r="G32" s="297"/>
      <c r="H32" s="298"/>
      <c r="I32" s="292"/>
    </row>
    <row r="33" spans="1:9" x14ac:dyDescent="0.3">
      <c r="A33" s="293"/>
      <c r="B33" s="156"/>
      <c r="C33" s="293"/>
      <c r="D33" s="294"/>
      <c r="E33" s="295"/>
      <c r="F33" s="296"/>
      <c r="G33" s="297"/>
      <c r="H33" s="298"/>
      <c r="I33" s="300"/>
    </row>
    <row r="34" spans="1:9" x14ac:dyDescent="0.3">
      <c r="A34" s="293"/>
      <c r="B34" s="156"/>
      <c r="C34" s="293"/>
      <c r="D34" s="294"/>
      <c r="E34" s="295"/>
      <c r="F34" s="296"/>
      <c r="G34" s="297"/>
      <c r="H34" s="298"/>
      <c r="I34" s="300"/>
    </row>
    <row r="35" spans="1:9" x14ac:dyDescent="0.3">
      <c r="A35" s="293"/>
      <c r="B35" s="156"/>
      <c r="C35" s="293"/>
      <c r="D35" s="294"/>
      <c r="E35" s="295"/>
      <c r="F35" s="296"/>
      <c r="G35" s="297"/>
      <c r="H35" s="298"/>
      <c r="I35" s="300"/>
    </row>
    <row r="36" spans="1:9" x14ac:dyDescent="0.3">
      <c r="A36" s="293"/>
      <c r="B36" s="156"/>
      <c r="C36" s="293"/>
      <c r="D36" s="294"/>
      <c r="E36" s="295"/>
      <c r="F36" s="296"/>
      <c r="G36" s="297"/>
      <c r="H36" s="298"/>
      <c r="I36" s="302"/>
    </row>
    <row r="37" spans="1:9" x14ac:dyDescent="0.3">
      <c r="A37" s="293"/>
      <c r="B37" s="156"/>
      <c r="C37" s="293"/>
      <c r="D37" s="294"/>
      <c r="E37" s="295"/>
      <c r="F37" s="296"/>
      <c r="G37" s="297"/>
      <c r="H37" s="298"/>
      <c r="I37" s="292"/>
    </row>
    <row r="38" spans="1:9" x14ac:dyDescent="0.3">
      <c r="A38" s="293"/>
      <c r="B38" s="293"/>
      <c r="C38" s="293"/>
      <c r="D38" s="294"/>
      <c r="E38" s="295"/>
      <c r="F38" s="296"/>
      <c r="G38" s="297"/>
      <c r="H38" s="298"/>
      <c r="I38" s="303"/>
    </row>
    <row r="39" spans="1:9" x14ac:dyDescent="0.3">
      <c r="A39" s="293"/>
      <c r="B39" s="156"/>
      <c r="C39" s="293"/>
      <c r="D39" s="294"/>
      <c r="E39" s="295"/>
      <c r="F39" s="296"/>
      <c r="G39" s="297"/>
      <c r="H39" s="298"/>
      <c r="I39" s="300"/>
    </row>
    <row r="40" spans="1:9" x14ac:dyDescent="0.3">
      <c r="A40" s="293"/>
      <c r="B40" s="156"/>
      <c r="C40" s="293"/>
      <c r="D40" s="294"/>
      <c r="E40" s="295"/>
      <c r="F40" s="296"/>
      <c r="G40" s="297"/>
      <c r="H40" s="298"/>
      <c r="I40" s="292"/>
    </row>
    <row r="41" spans="1:9" x14ac:dyDescent="0.3">
      <c r="A41" s="293"/>
      <c r="B41" s="156"/>
      <c r="C41" s="293"/>
      <c r="D41" s="294"/>
      <c r="E41" s="295"/>
      <c r="F41" s="296"/>
      <c r="G41" s="297"/>
      <c r="H41" s="298"/>
      <c r="I41" s="292"/>
    </row>
    <row r="42" spans="1:9" x14ac:dyDescent="0.3">
      <c r="A42" s="293"/>
      <c r="B42" s="156"/>
      <c r="C42" s="293"/>
      <c r="D42" s="294"/>
      <c r="E42" s="295"/>
      <c r="F42" s="296"/>
      <c r="G42" s="297"/>
      <c r="H42" s="298"/>
      <c r="I42" s="302"/>
    </row>
    <row r="43" spans="1:9" x14ac:dyDescent="0.3">
      <c r="A43" s="293"/>
      <c r="B43" s="156"/>
      <c r="C43" s="293"/>
      <c r="D43" s="294"/>
      <c r="E43" s="295"/>
      <c r="F43" s="296"/>
      <c r="G43" s="297"/>
      <c r="H43" s="298"/>
      <c r="I43" s="292"/>
    </row>
    <row r="44" spans="1:9" x14ac:dyDescent="0.3">
      <c r="A44" s="293"/>
      <c r="B44" s="156"/>
      <c r="C44" s="293"/>
      <c r="D44" s="294"/>
      <c r="E44" s="295"/>
      <c r="F44" s="296"/>
      <c r="G44" s="297"/>
      <c r="H44" s="298"/>
      <c r="I44" s="292"/>
    </row>
    <row r="45" spans="1:9" x14ac:dyDescent="0.3">
      <c r="A45" s="293"/>
      <c r="B45" s="156"/>
      <c r="C45" s="293"/>
      <c r="D45" s="294"/>
      <c r="E45" s="295"/>
      <c r="F45" s="296"/>
      <c r="G45" s="297"/>
      <c r="H45" s="298"/>
      <c r="I45" s="292"/>
    </row>
    <row r="46" spans="1:9" x14ac:dyDescent="0.3">
      <c r="A46" s="293"/>
      <c r="B46" s="156"/>
      <c r="C46" s="293"/>
      <c r="D46" s="294"/>
      <c r="E46" s="295"/>
      <c r="F46" s="296"/>
      <c r="G46" s="297"/>
      <c r="H46" s="298"/>
      <c r="I46" s="300"/>
    </row>
    <row r="47" spans="1:9" x14ac:dyDescent="0.3">
      <c r="A47" s="293"/>
      <c r="B47" s="293"/>
      <c r="C47" s="293"/>
      <c r="D47" s="294"/>
      <c r="E47" s="295"/>
      <c r="F47" s="296"/>
      <c r="G47" s="297"/>
      <c r="H47" s="298"/>
      <c r="I47" s="300"/>
    </row>
    <row r="48" spans="1:9" x14ac:dyDescent="0.3">
      <c r="A48" s="293"/>
      <c r="B48" s="156"/>
      <c r="C48" s="293"/>
      <c r="D48" s="294"/>
      <c r="E48" s="295"/>
      <c r="F48" s="296"/>
      <c r="G48" s="297"/>
      <c r="H48" s="298"/>
      <c r="I48" s="292"/>
    </row>
    <row r="49" spans="1:9" x14ac:dyDescent="0.3">
      <c r="A49" s="293"/>
      <c r="B49" s="156"/>
      <c r="C49" s="293"/>
      <c r="D49" s="294"/>
      <c r="E49" s="295"/>
      <c r="F49" s="296"/>
      <c r="G49" s="297"/>
      <c r="H49" s="298"/>
      <c r="I49" s="292"/>
    </row>
    <row r="50" spans="1:9" x14ac:dyDescent="0.3">
      <c r="A50" s="293"/>
      <c r="B50" s="156"/>
      <c r="C50" s="293"/>
      <c r="D50" s="294"/>
      <c r="E50" s="295"/>
      <c r="F50" s="296"/>
      <c r="G50" s="297"/>
      <c r="H50" s="298"/>
      <c r="I50" s="300"/>
    </row>
    <row r="51" spans="1:9" x14ac:dyDescent="0.3">
      <c r="A51" s="293"/>
      <c r="B51" s="156"/>
      <c r="C51" s="293"/>
      <c r="D51" s="294"/>
      <c r="E51" s="295"/>
      <c r="F51" s="296"/>
      <c r="G51" s="297"/>
      <c r="H51" s="298"/>
      <c r="I51" s="300"/>
    </row>
    <row r="52" spans="1:9" x14ac:dyDescent="0.3">
      <c r="A52" s="293"/>
      <c r="B52" s="156"/>
      <c r="C52" s="293"/>
      <c r="D52" s="294"/>
      <c r="E52" s="295"/>
      <c r="F52" s="296"/>
      <c r="G52" s="297"/>
      <c r="H52" s="298"/>
      <c r="I52" s="300"/>
    </row>
    <row r="53" spans="1:9" x14ac:dyDescent="0.3">
      <c r="A53" s="293"/>
      <c r="B53" s="156"/>
      <c r="C53" s="293"/>
      <c r="D53" s="294"/>
      <c r="E53" s="295"/>
      <c r="F53" s="296"/>
      <c r="G53" s="297"/>
      <c r="H53" s="298"/>
      <c r="I53" s="300"/>
    </row>
    <row r="54" spans="1:9" x14ac:dyDescent="0.3">
      <c r="A54" s="293"/>
      <c r="B54" s="156"/>
      <c r="C54" s="293"/>
      <c r="D54" s="294"/>
      <c r="E54" s="295"/>
      <c r="F54" s="296"/>
      <c r="G54" s="297"/>
      <c r="H54" s="298"/>
      <c r="I54" s="292"/>
    </row>
    <row r="55" spans="1:9" x14ac:dyDescent="0.3">
      <c r="A55" s="293"/>
      <c r="B55" s="156"/>
      <c r="C55" s="293"/>
      <c r="D55" s="294"/>
      <c r="E55" s="295"/>
      <c r="F55" s="296"/>
      <c r="G55" s="297"/>
      <c r="H55" s="298"/>
      <c r="I55" s="292"/>
    </row>
    <row r="56" spans="1:9" x14ac:dyDescent="0.3">
      <c r="A56" s="293"/>
      <c r="B56" s="293"/>
      <c r="C56" s="293"/>
      <c r="D56" s="294"/>
      <c r="E56" s="295"/>
      <c r="F56" s="296"/>
      <c r="G56" s="297"/>
      <c r="H56" s="298"/>
      <c r="I56" s="302"/>
    </row>
    <row r="57" spans="1:9" x14ac:dyDescent="0.3">
      <c r="A57" s="293"/>
      <c r="B57" s="156"/>
      <c r="C57" s="293"/>
      <c r="D57" s="294"/>
      <c r="E57" s="295"/>
      <c r="F57" s="296"/>
      <c r="G57" s="297"/>
      <c r="H57" s="298"/>
      <c r="I57" s="292"/>
    </row>
    <row r="58" spans="1:9" x14ac:dyDescent="0.3">
      <c r="A58" s="293"/>
      <c r="B58" s="156"/>
      <c r="C58" s="293"/>
      <c r="D58" s="294"/>
      <c r="E58" s="295"/>
      <c r="F58" s="296"/>
      <c r="G58" s="297"/>
      <c r="H58" s="298"/>
      <c r="I58" s="300"/>
    </row>
    <row r="59" spans="1:9" x14ac:dyDescent="0.3">
      <c r="A59" s="293"/>
      <c r="B59" s="156"/>
      <c r="C59" s="293"/>
      <c r="D59" s="294"/>
      <c r="E59" s="295"/>
      <c r="F59" s="296"/>
      <c r="G59" s="297"/>
      <c r="H59" s="298"/>
      <c r="I59" s="300"/>
    </row>
    <row r="60" spans="1:9" x14ac:dyDescent="0.3">
      <c r="A60" s="293"/>
      <c r="B60" s="156"/>
      <c r="C60" s="293"/>
      <c r="D60" s="294"/>
      <c r="E60" s="295"/>
      <c r="F60" s="296"/>
      <c r="G60" s="297"/>
      <c r="H60" s="298"/>
      <c r="I60" s="300"/>
    </row>
    <row r="61" spans="1:9" x14ac:dyDescent="0.3">
      <c r="A61" s="293"/>
      <c r="B61" s="156"/>
      <c r="C61" s="293"/>
      <c r="D61" s="294"/>
      <c r="E61" s="295"/>
      <c r="F61" s="296"/>
      <c r="G61" s="297"/>
      <c r="H61" s="298"/>
      <c r="I61" s="303"/>
    </row>
    <row r="62" spans="1:9" x14ac:dyDescent="0.3">
      <c r="A62" s="293"/>
      <c r="B62" s="156"/>
      <c r="C62" s="293"/>
      <c r="D62" s="294"/>
      <c r="E62" s="295"/>
      <c r="F62" s="296"/>
      <c r="G62" s="297"/>
      <c r="H62" s="298"/>
      <c r="I62" s="300"/>
    </row>
    <row r="63" spans="1:9" x14ac:dyDescent="0.3">
      <c r="A63" s="293"/>
      <c r="B63" s="156"/>
      <c r="C63" s="293"/>
      <c r="D63" s="294"/>
      <c r="E63" s="295"/>
      <c r="F63" s="296"/>
      <c r="G63" s="297"/>
      <c r="H63" s="298"/>
      <c r="I63" s="300"/>
    </row>
    <row r="64" spans="1:9" x14ac:dyDescent="0.3">
      <c r="A64" s="293"/>
      <c r="B64" s="156"/>
      <c r="C64" s="293"/>
      <c r="D64" s="294"/>
      <c r="E64" s="295"/>
      <c r="F64" s="296"/>
      <c r="G64" s="297"/>
      <c r="H64" s="298"/>
      <c r="I64" s="303"/>
    </row>
    <row r="65" spans="1:9" x14ac:dyDescent="0.3">
      <c r="A65" s="299"/>
      <c r="B65" s="156"/>
      <c r="C65" s="293"/>
      <c r="D65" s="294"/>
      <c r="E65" s="295"/>
      <c r="F65" s="296"/>
      <c r="G65" s="297"/>
      <c r="H65" s="298"/>
      <c r="I65" s="302"/>
    </row>
    <row r="66" spans="1:9" x14ac:dyDescent="0.3">
      <c r="A66" s="299"/>
      <c r="B66" s="156"/>
      <c r="C66" s="293"/>
      <c r="D66" s="294"/>
      <c r="E66" s="295"/>
      <c r="F66" s="296"/>
      <c r="G66" s="297"/>
      <c r="H66" s="298"/>
      <c r="I66" s="292"/>
    </row>
    <row r="67" spans="1:9" x14ac:dyDescent="0.3">
      <c r="A67" s="299"/>
      <c r="B67" s="156"/>
      <c r="C67" s="293"/>
      <c r="D67" s="294"/>
      <c r="E67" s="295"/>
      <c r="F67" s="296"/>
      <c r="G67" s="297"/>
      <c r="H67" s="298"/>
      <c r="I67" s="300"/>
    </row>
    <row r="68" spans="1:9" x14ac:dyDescent="0.3">
      <c r="A68" s="299"/>
      <c r="B68" s="156"/>
      <c r="C68" s="293"/>
      <c r="D68" s="294"/>
      <c r="E68" s="295"/>
      <c r="F68" s="296"/>
      <c r="G68" s="297"/>
      <c r="H68" s="298"/>
      <c r="I68" s="303"/>
    </row>
    <row r="69" spans="1:9" x14ac:dyDescent="0.3">
      <c r="A69" s="299"/>
      <c r="B69" s="156"/>
      <c r="C69" s="293"/>
      <c r="D69" s="294"/>
      <c r="E69" s="295"/>
      <c r="F69" s="296"/>
      <c r="G69" s="297"/>
      <c r="H69" s="298"/>
      <c r="I69" s="300"/>
    </row>
    <row r="70" spans="1:9" x14ac:dyDescent="0.3">
      <c r="A70" s="299"/>
      <c r="B70" s="156"/>
      <c r="C70" s="293"/>
      <c r="D70" s="294"/>
      <c r="E70" s="295"/>
      <c r="F70" s="296"/>
      <c r="G70" s="297"/>
      <c r="H70" s="298"/>
      <c r="I70" s="292"/>
    </row>
    <row r="71" spans="1:9" x14ac:dyDescent="0.3">
      <c r="A71" s="299"/>
      <c r="B71" s="156"/>
      <c r="C71" s="293"/>
      <c r="D71" s="294"/>
      <c r="E71" s="295"/>
      <c r="F71" s="296"/>
      <c r="G71" s="297"/>
      <c r="H71" s="298"/>
      <c r="I71" s="300"/>
    </row>
    <row r="72" spans="1:9" x14ac:dyDescent="0.3">
      <c r="A72" s="299"/>
      <c r="B72" s="156"/>
      <c r="C72" s="293"/>
      <c r="D72" s="294"/>
      <c r="E72" s="295"/>
      <c r="F72" s="296"/>
      <c r="G72" s="297"/>
      <c r="H72" s="298"/>
      <c r="I72" s="300"/>
    </row>
    <row r="73" spans="1:9" x14ac:dyDescent="0.3">
      <c r="A73" s="299"/>
      <c r="B73" s="156"/>
      <c r="C73" s="293"/>
      <c r="D73" s="294"/>
      <c r="E73" s="295"/>
      <c r="F73" s="296"/>
      <c r="G73" s="297"/>
      <c r="H73" s="298"/>
      <c r="I73" s="300"/>
    </row>
    <row r="74" spans="1:9" x14ac:dyDescent="0.3">
      <c r="A74" s="299"/>
      <c r="B74" s="156"/>
      <c r="C74" s="293"/>
      <c r="D74" s="294"/>
      <c r="E74" s="295"/>
      <c r="F74" s="296"/>
      <c r="G74" s="297"/>
      <c r="H74" s="298"/>
      <c r="I74" s="300"/>
    </row>
    <row r="75" spans="1:9" x14ac:dyDescent="0.3">
      <c r="A75" s="299"/>
      <c r="B75" s="156"/>
      <c r="C75" s="293"/>
      <c r="D75" s="294"/>
      <c r="E75" s="295"/>
      <c r="F75" s="296"/>
      <c r="G75" s="297"/>
      <c r="H75" s="298"/>
      <c r="I75" s="292"/>
    </row>
    <row r="76" spans="1:9" x14ac:dyDescent="0.3">
      <c r="A76" s="299"/>
      <c r="B76" s="156"/>
      <c r="C76" s="293"/>
      <c r="D76" s="294"/>
      <c r="E76" s="295"/>
      <c r="F76" s="296"/>
      <c r="G76" s="297"/>
      <c r="H76" s="298"/>
      <c r="I76" s="292"/>
    </row>
    <row r="77" spans="1:9" x14ac:dyDescent="0.3">
      <c r="A77" s="299"/>
      <c r="B77" s="156"/>
      <c r="C77" s="293"/>
      <c r="D77" s="294"/>
      <c r="E77" s="295"/>
      <c r="F77" s="296"/>
      <c r="G77" s="297"/>
      <c r="H77" s="298"/>
      <c r="I77" s="292"/>
    </row>
    <row r="78" spans="1:9" x14ac:dyDescent="0.3">
      <c r="A78" s="299"/>
      <c r="B78" s="156"/>
      <c r="C78" s="293"/>
      <c r="D78" s="294"/>
      <c r="E78" s="295"/>
      <c r="F78" s="296"/>
      <c r="G78" s="297"/>
      <c r="H78" s="298"/>
      <c r="I78" s="302"/>
    </row>
    <row r="79" spans="1:9" x14ac:dyDescent="0.3">
      <c r="A79" s="299"/>
      <c r="B79" s="156"/>
      <c r="C79" s="293"/>
      <c r="D79" s="294"/>
      <c r="E79" s="295"/>
      <c r="F79" s="296"/>
      <c r="G79" s="297"/>
      <c r="H79" s="298"/>
      <c r="I79" s="300"/>
    </row>
    <row r="80" spans="1:9" x14ac:dyDescent="0.3">
      <c r="A80" s="299"/>
      <c r="B80" s="156"/>
      <c r="C80" s="293"/>
      <c r="D80" s="294"/>
      <c r="E80" s="295"/>
      <c r="F80" s="296"/>
      <c r="G80" s="297"/>
      <c r="H80" s="298"/>
      <c r="I80" s="300"/>
    </row>
    <row r="81" spans="1:9" x14ac:dyDescent="0.3">
      <c r="A81" s="299"/>
      <c r="B81" s="156"/>
      <c r="C81" s="293"/>
      <c r="D81" s="294"/>
      <c r="E81" s="295"/>
      <c r="F81" s="296"/>
      <c r="G81" s="297"/>
      <c r="H81" s="298"/>
      <c r="I81" s="300"/>
    </row>
    <row r="82" spans="1:9" x14ac:dyDescent="0.3">
      <c r="A82" s="299"/>
      <c r="B82" s="156"/>
      <c r="C82" s="293"/>
      <c r="D82" s="294"/>
      <c r="E82" s="295"/>
      <c r="F82" s="296"/>
      <c r="G82" s="297"/>
      <c r="H82" s="298"/>
      <c r="I82" s="292"/>
    </row>
    <row r="83" spans="1:9" x14ac:dyDescent="0.3">
      <c r="A83" s="299"/>
      <c r="B83" s="156"/>
      <c r="C83" s="293"/>
      <c r="D83" s="294"/>
      <c r="E83" s="295"/>
      <c r="F83" s="296"/>
      <c r="G83" s="297"/>
      <c r="H83" s="298"/>
      <c r="I83" s="300"/>
    </row>
    <row r="84" spans="1:9" x14ac:dyDescent="0.3">
      <c r="A84" s="299"/>
      <c r="B84" s="156"/>
      <c r="C84" s="293"/>
      <c r="D84" s="294"/>
      <c r="E84" s="295"/>
      <c r="F84" s="296"/>
      <c r="G84" s="297"/>
      <c r="H84" s="298"/>
      <c r="I84" s="292"/>
    </row>
    <row r="85" spans="1:9" x14ac:dyDescent="0.3">
      <c r="A85" s="299"/>
      <c r="B85" s="156"/>
      <c r="C85" s="293"/>
      <c r="D85" s="294"/>
      <c r="E85" s="295"/>
      <c r="F85" s="296"/>
      <c r="G85" s="297"/>
      <c r="H85" s="298"/>
      <c r="I85" s="300"/>
    </row>
    <row r="86" spans="1:9" x14ac:dyDescent="0.3">
      <c r="A86" s="299"/>
      <c r="B86" s="156"/>
      <c r="C86" s="293"/>
      <c r="D86" s="294"/>
      <c r="E86" s="295"/>
      <c r="F86" s="296"/>
      <c r="G86" s="297"/>
      <c r="H86" s="298"/>
      <c r="I86" s="292"/>
    </row>
    <row r="87" spans="1:9" x14ac:dyDescent="0.3">
      <c r="A87" s="299"/>
      <c r="B87" s="156"/>
      <c r="C87" s="293"/>
      <c r="D87" s="294"/>
      <c r="E87" s="295"/>
      <c r="F87" s="296"/>
      <c r="G87" s="297"/>
      <c r="H87" s="298"/>
      <c r="I87" s="302"/>
    </row>
    <row r="88" spans="1:9" x14ac:dyDescent="0.3">
      <c r="A88" s="299"/>
      <c r="B88" s="156"/>
      <c r="C88" s="293"/>
      <c r="D88" s="294"/>
      <c r="E88" s="295"/>
      <c r="F88" s="296"/>
      <c r="G88" s="297"/>
      <c r="H88" s="298"/>
      <c r="I88" s="292"/>
    </row>
    <row r="89" spans="1:9" x14ac:dyDescent="0.3">
      <c r="A89" s="299"/>
      <c r="B89" s="156"/>
      <c r="C89" s="293"/>
      <c r="D89" s="294"/>
      <c r="E89" s="295"/>
      <c r="F89" s="296"/>
      <c r="G89" s="297"/>
      <c r="H89" s="298"/>
      <c r="I89" s="302"/>
    </row>
    <row r="90" spans="1:9" x14ac:dyDescent="0.3">
      <c r="A90" s="299"/>
      <c r="B90" s="156"/>
      <c r="C90" s="293"/>
      <c r="D90" s="294"/>
      <c r="E90" s="295"/>
      <c r="F90" s="296"/>
      <c r="G90" s="297"/>
      <c r="H90" s="298"/>
      <c r="I90" s="292"/>
    </row>
    <row r="91" spans="1:9" x14ac:dyDescent="0.3">
      <c r="A91" s="299"/>
      <c r="B91" s="156"/>
      <c r="C91" s="293"/>
      <c r="D91" s="304"/>
      <c r="E91" s="297"/>
      <c r="F91" s="292"/>
      <c r="G91" s="297"/>
      <c r="H91" s="298"/>
      <c r="I91" s="300"/>
    </row>
    <row r="92" spans="1:9" x14ac:dyDescent="0.3">
      <c r="A92" s="299"/>
      <c r="B92" s="156"/>
      <c r="C92" s="293"/>
      <c r="D92" s="304"/>
      <c r="E92" s="297"/>
      <c r="F92" s="292"/>
      <c r="G92" s="297"/>
      <c r="H92" s="298"/>
      <c r="I92" s="292"/>
    </row>
    <row r="93" spans="1:9" x14ac:dyDescent="0.3">
      <c r="A93" s="299"/>
      <c r="B93" s="156"/>
      <c r="C93" s="293"/>
      <c r="D93" s="304"/>
      <c r="E93" s="297"/>
      <c r="F93" s="292"/>
      <c r="G93" s="297"/>
      <c r="H93" s="298"/>
      <c r="I93" s="300"/>
    </row>
    <row r="94" spans="1:9" x14ac:dyDescent="0.3">
      <c r="A94" s="299"/>
      <c r="B94" s="156"/>
      <c r="C94" s="293"/>
      <c r="D94" s="304"/>
      <c r="E94" s="297"/>
      <c r="F94" s="292"/>
      <c r="G94" s="297"/>
      <c r="H94" s="298"/>
      <c r="I94" s="300"/>
    </row>
    <row r="95" spans="1:9" x14ac:dyDescent="0.3">
      <c r="A95" s="299"/>
      <c r="B95" s="156"/>
      <c r="C95" s="293"/>
      <c r="D95" s="304"/>
      <c r="E95" s="297"/>
      <c r="F95" s="292"/>
      <c r="G95" s="297"/>
      <c r="H95" s="298"/>
      <c r="I95" s="300"/>
    </row>
    <row r="96" spans="1:9" x14ac:dyDescent="0.3">
      <c r="A96" s="299"/>
      <c r="B96" s="156"/>
      <c r="C96" s="293"/>
      <c r="D96" s="304"/>
      <c r="E96" s="297"/>
      <c r="F96" s="292"/>
      <c r="G96" s="297"/>
      <c r="H96" s="298"/>
      <c r="I96" s="292"/>
    </row>
    <row r="97" spans="1:9" x14ac:dyDescent="0.3">
      <c r="A97" s="299"/>
      <c r="B97" s="156"/>
      <c r="C97" s="293"/>
      <c r="D97" s="304"/>
      <c r="E97" s="297"/>
      <c r="F97" s="292"/>
      <c r="G97" s="297"/>
      <c r="H97" s="298"/>
      <c r="I97" s="303"/>
    </row>
    <row r="98" spans="1:9" x14ac:dyDescent="0.3">
      <c r="A98" s="299"/>
      <c r="B98" s="156"/>
      <c r="C98" s="293"/>
      <c r="D98" s="304"/>
      <c r="E98" s="297"/>
      <c r="F98" s="292"/>
      <c r="G98" s="297"/>
      <c r="H98" s="298"/>
      <c r="I98" s="292"/>
    </row>
    <row r="99" spans="1:9" x14ac:dyDescent="0.3">
      <c r="A99" s="299"/>
      <c r="B99" s="156"/>
      <c r="C99" s="293"/>
      <c r="D99" s="304"/>
      <c r="E99" s="297"/>
      <c r="F99" s="292"/>
      <c r="G99" s="297"/>
      <c r="H99" s="298"/>
      <c r="I99" s="300"/>
    </row>
    <row r="100" spans="1:9" x14ac:dyDescent="0.3">
      <c r="A100" s="299"/>
      <c r="B100" s="156"/>
      <c r="C100" s="293"/>
      <c r="D100" s="304"/>
      <c r="E100" s="297"/>
      <c r="F100" s="292"/>
      <c r="G100" s="297"/>
      <c r="H100" s="298"/>
      <c r="I100" s="302"/>
    </row>
    <row r="101" spans="1:9" x14ac:dyDescent="0.3">
      <c r="A101" s="299"/>
      <c r="B101" s="156"/>
      <c r="C101" s="293"/>
      <c r="D101" s="304"/>
      <c r="E101" s="297"/>
      <c r="F101" s="292"/>
      <c r="G101" s="297"/>
      <c r="H101" s="298"/>
      <c r="I101" s="300"/>
    </row>
    <row r="102" spans="1:9" x14ac:dyDescent="0.3">
      <c r="A102" s="299"/>
      <c r="B102" s="156"/>
      <c r="C102" s="293"/>
      <c r="D102" s="304"/>
      <c r="E102" s="297"/>
      <c r="F102" s="292"/>
      <c r="G102" s="297"/>
      <c r="H102" s="298"/>
      <c r="I102" s="292"/>
    </row>
    <row r="103" spans="1:9" x14ac:dyDescent="0.3">
      <c r="A103" s="299"/>
      <c r="B103" s="156"/>
      <c r="C103" s="293"/>
      <c r="D103" s="304"/>
      <c r="E103" s="297"/>
      <c r="F103" s="292"/>
      <c r="G103" s="297"/>
      <c r="H103" s="298"/>
      <c r="I103" s="300"/>
    </row>
    <row r="104" spans="1:9" x14ac:dyDescent="0.3">
      <c r="A104" s="299"/>
      <c r="B104" s="156"/>
      <c r="C104" s="293"/>
      <c r="D104" s="304"/>
      <c r="E104" s="297"/>
      <c r="F104" s="292"/>
      <c r="G104" s="297"/>
      <c r="H104" s="298"/>
      <c r="I104" s="300"/>
    </row>
    <row r="105" spans="1:9" x14ac:dyDescent="0.3">
      <c r="A105" s="299"/>
      <c r="B105" s="156"/>
      <c r="C105" s="293"/>
      <c r="D105" s="304"/>
      <c r="E105" s="297"/>
      <c r="F105" s="292"/>
      <c r="G105" s="297"/>
      <c r="H105" s="298"/>
      <c r="I105" s="300"/>
    </row>
    <row r="106" spans="1:9" x14ac:dyDescent="0.3">
      <c r="A106" s="299"/>
      <c r="B106" s="156"/>
      <c r="C106" s="293"/>
      <c r="D106" s="305"/>
      <c r="E106" s="297"/>
      <c r="F106" s="292"/>
      <c r="G106" s="297"/>
      <c r="H106" s="298"/>
      <c r="I106" s="300"/>
    </row>
    <row r="107" spans="1:9" x14ac:dyDescent="0.3">
      <c r="A107" s="299"/>
      <c r="B107" s="156"/>
      <c r="C107" s="293"/>
      <c r="D107" s="304"/>
      <c r="E107" s="297"/>
      <c r="F107" s="292"/>
      <c r="G107" s="297"/>
      <c r="H107" s="298"/>
      <c r="I107" s="292"/>
    </row>
    <row r="108" spans="1:9" x14ac:dyDescent="0.3">
      <c r="A108" s="299"/>
      <c r="B108" s="156"/>
      <c r="C108" s="293"/>
      <c r="D108" s="304"/>
      <c r="E108" s="297"/>
      <c r="F108" s="292"/>
      <c r="G108" s="297"/>
      <c r="H108" s="298"/>
      <c r="I108" s="292"/>
    </row>
    <row r="109" spans="1:9" x14ac:dyDescent="0.3">
      <c r="A109" s="299"/>
      <c r="B109" s="156"/>
      <c r="C109" s="293"/>
      <c r="D109" s="304"/>
      <c r="E109" s="297"/>
      <c r="F109" s="292"/>
      <c r="G109" s="297"/>
      <c r="H109" s="298"/>
      <c r="I109" s="292"/>
    </row>
    <row r="110" spans="1:9" x14ac:dyDescent="0.3">
      <c r="A110" s="299"/>
      <c r="B110" s="156"/>
      <c r="C110" s="293"/>
      <c r="D110" s="304"/>
      <c r="E110" s="297"/>
      <c r="F110" s="292"/>
      <c r="G110" s="297"/>
      <c r="H110" s="298"/>
      <c r="I110" s="300"/>
    </row>
    <row r="111" spans="1:9" x14ac:dyDescent="0.3">
      <c r="A111" s="299"/>
      <c r="B111" s="156"/>
      <c r="C111" s="293"/>
      <c r="D111" s="304"/>
      <c r="E111" s="297"/>
      <c r="F111" s="292"/>
      <c r="G111" s="297"/>
      <c r="H111" s="298"/>
      <c r="I111" s="300"/>
    </row>
    <row r="112" spans="1:9" x14ac:dyDescent="0.3">
      <c r="A112" s="299"/>
      <c r="B112" s="156"/>
      <c r="C112" s="293"/>
      <c r="D112" s="304"/>
      <c r="E112" s="297"/>
      <c r="F112" s="292"/>
      <c r="G112" s="297"/>
      <c r="H112" s="298"/>
      <c r="I112" s="300"/>
    </row>
    <row r="113" spans="1:9" x14ac:dyDescent="0.3">
      <c r="A113" s="299"/>
      <c r="B113" s="156"/>
      <c r="C113" s="293"/>
      <c r="D113" s="304"/>
      <c r="E113" s="297"/>
      <c r="F113" s="292"/>
      <c r="G113" s="297"/>
      <c r="H113" s="298"/>
      <c r="I113" s="302"/>
    </row>
    <row r="114" spans="1:9" x14ac:dyDescent="0.3">
      <c r="A114" s="299"/>
      <c r="B114" s="156"/>
      <c r="C114" s="293"/>
      <c r="D114" s="304"/>
      <c r="E114" s="297"/>
      <c r="F114" s="292"/>
      <c r="G114" s="297"/>
      <c r="H114" s="298"/>
      <c r="I114" s="300"/>
    </row>
    <row r="115" spans="1:9" x14ac:dyDescent="0.3">
      <c r="A115" s="299"/>
      <c r="B115" s="156"/>
      <c r="C115" s="293"/>
      <c r="D115" s="304"/>
      <c r="E115" s="297"/>
      <c r="F115" s="292"/>
      <c r="G115" s="297"/>
      <c r="H115" s="298"/>
      <c r="I115" s="300"/>
    </row>
    <row r="116" spans="1:9" x14ac:dyDescent="0.3">
      <c r="A116" s="299"/>
      <c r="B116" s="156"/>
      <c r="C116" s="293"/>
      <c r="D116" s="304"/>
      <c r="E116" s="297"/>
      <c r="F116" s="292"/>
      <c r="G116" s="297"/>
      <c r="H116" s="298"/>
      <c r="I116" s="300"/>
    </row>
    <row r="117" spans="1:9" x14ac:dyDescent="0.3">
      <c r="A117" s="299"/>
      <c r="B117" s="156"/>
      <c r="C117" s="293"/>
      <c r="D117" s="304"/>
      <c r="E117" s="297"/>
      <c r="F117" s="292"/>
      <c r="G117" s="297"/>
      <c r="H117" s="298"/>
      <c r="I117" s="292"/>
    </row>
    <row r="118" spans="1:9" x14ac:dyDescent="0.3">
      <c r="A118" s="299"/>
      <c r="B118" s="156"/>
      <c r="C118" s="293"/>
      <c r="D118" s="304"/>
      <c r="E118" s="297"/>
      <c r="F118" s="292"/>
      <c r="G118" s="297"/>
      <c r="H118" s="298"/>
      <c r="I118" s="300"/>
    </row>
    <row r="119" spans="1:9" x14ac:dyDescent="0.3">
      <c r="A119" s="299"/>
      <c r="B119" s="156"/>
      <c r="C119" s="293"/>
      <c r="D119" s="304"/>
      <c r="E119" s="297"/>
      <c r="F119" s="292"/>
      <c r="G119" s="297"/>
      <c r="H119" s="298"/>
      <c r="I119" s="292"/>
    </row>
    <row r="120" spans="1:9" x14ac:dyDescent="0.3">
      <c r="A120" s="299"/>
      <c r="B120" s="156"/>
      <c r="C120" s="293"/>
      <c r="D120" s="304"/>
      <c r="E120" s="297"/>
      <c r="F120" s="292"/>
      <c r="G120" s="297"/>
      <c r="H120" s="298"/>
      <c r="I120" s="300"/>
    </row>
    <row r="121" spans="1:9" x14ac:dyDescent="0.3">
      <c r="A121" s="299"/>
      <c r="B121" s="156"/>
      <c r="C121" s="293"/>
      <c r="D121" s="304"/>
      <c r="E121" s="297"/>
      <c r="F121" s="292"/>
      <c r="G121" s="297"/>
      <c r="H121" s="298"/>
      <c r="I121" s="302"/>
    </row>
    <row r="122" spans="1:9" x14ac:dyDescent="0.3">
      <c r="A122" s="299"/>
      <c r="B122" s="156"/>
      <c r="C122" s="293"/>
      <c r="D122" s="304"/>
      <c r="E122" s="297"/>
      <c r="F122" s="292"/>
      <c r="G122" s="297"/>
      <c r="H122" s="298"/>
      <c r="I122" s="300"/>
    </row>
    <row r="123" spans="1:9" x14ac:dyDescent="0.3">
      <c r="A123" s="299"/>
      <c r="B123" s="156"/>
      <c r="C123" s="293"/>
      <c r="D123" s="304"/>
      <c r="E123" s="297"/>
      <c r="F123" s="292"/>
      <c r="G123" s="297"/>
      <c r="H123" s="298"/>
      <c r="I123" s="300"/>
    </row>
    <row r="124" spans="1:9" x14ac:dyDescent="0.3">
      <c r="A124" s="299"/>
      <c r="B124" s="156"/>
      <c r="C124" s="293"/>
      <c r="D124" s="304"/>
      <c r="E124" s="297"/>
      <c r="F124" s="292"/>
      <c r="G124" s="297"/>
      <c r="H124" s="298"/>
      <c r="I124" s="300"/>
    </row>
    <row r="125" spans="1:9" x14ac:dyDescent="0.3">
      <c r="A125" s="299"/>
      <c r="B125" s="156"/>
      <c r="C125" s="293"/>
      <c r="D125" s="304"/>
      <c r="E125" s="297"/>
      <c r="F125" s="292"/>
      <c r="G125" s="297"/>
      <c r="H125" s="298"/>
      <c r="I125" s="302"/>
    </row>
    <row r="126" spans="1:9" x14ac:dyDescent="0.3">
      <c r="A126" s="299"/>
      <c r="B126" s="156"/>
      <c r="C126" s="293"/>
      <c r="D126" s="304"/>
      <c r="E126" s="297"/>
      <c r="F126" s="292"/>
      <c r="G126" s="297"/>
      <c r="H126" s="298"/>
      <c r="I126" s="302"/>
    </row>
    <row r="127" spans="1:9" x14ac:dyDescent="0.3">
      <c r="A127" s="299"/>
      <c r="B127" s="156"/>
      <c r="C127" s="293"/>
      <c r="D127" s="304"/>
      <c r="E127" s="297"/>
      <c r="F127" s="292"/>
      <c r="G127" s="297"/>
      <c r="H127" s="298"/>
      <c r="I127" s="292"/>
    </row>
    <row r="128" spans="1:9" x14ac:dyDescent="0.3">
      <c r="A128" s="299"/>
      <c r="B128" s="156"/>
      <c r="C128" s="293"/>
      <c r="D128" s="304"/>
      <c r="E128" s="297"/>
      <c r="F128" s="292"/>
      <c r="G128" s="297"/>
      <c r="H128" s="298"/>
      <c r="I128" s="300"/>
    </row>
    <row r="129" spans="1:9" x14ac:dyDescent="0.3">
      <c r="A129" s="299"/>
      <c r="B129" s="156"/>
      <c r="C129" s="293"/>
      <c r="D129" s="304"/>
      <c r="E129" s="297"/>
      <c r="F129" s="292"/>
      <c r="G129" s="297"/>
      <c r="H129" s="298"/>
      <c r="I129" s="292"/>
    </row>
    <row r="130" spans="1:9" x14ac:dyDescent="0.3">
      <c r="A130" s="299"/>
      <c r="B130" s="156"/>
      <c r="C130" s="293"/>
      <c r="D130" s="304"/>
      <c r="E130" s="297"/>
      <c r="F130" s="292"/>
      <c r="G130" s="297"/>
      <c r="H130" s="298"/>
      <c r="I130" s="302"/>
    </row>
    <row r="131" spans="1:9" x14ac:dyDescent="0.3">
      <c r="A131" s="299"/>
      <c r="B131" s="156"/>
      <c r="C131" s="293"/>
      <c r="D131" s="304"/>
      <c r="E131" s="297"/>
      <c r="F131" s="292"/>
      <c r="G131" s="297"/>
      <c r="H131" s="298"/>
      <c r="I131" s="292"/>
    </row>
    <row r="132" spans="1:9" x14ac:dyDescent="0.3">
      <c r="A132" s="299"/>
      <c r="B132" s="156"/>
      <c r="C132" s="293"/>
      <c r="D132" s="304"/>
      <c r="E132" s="297"/>
      <c r="F132" s="292"/>
      <c r="G132" s="297"/>
      <c r="H132" s="298"/>
      <c r="I132" s="300"/>
    </row>
    <row r="133" spans="1:9" x14ac:dyDescent="0.3">
      <c r="A133" s="299"/>
      <c r="B133" s="156"/>
      <c r="C133" s="293"/>
      <c r="D133" s="304"/>
      <c r="E133" s="297"/>
      <c r="F133" s="292"/>
      <c r="G133" s="297"/>
      <c r="H133" s="298"/>
      <c r="I133" s="292"/>
    </row>
    <row r="134" spans="1:9" x14ac:dyDescent="0.3">
      <c r="A134" s="299"/>
      <c r="B134" s="156"/>
      <c r="C134" s="293"/>
      <c r="D134" s="304"/>
      <c r="E134" s="297"/>
      <c r="F134" s="292"/>
      <c r="G134" s="297"/>
      <c r="H134" s="298"/>
      <c r="I134" s="300"/>
    </row>
    <row r="135" spans="1:9" x14ac:dyDescent="0.3">
      <c r="A135" s="299"/>
      <c r="B135" s="156"/>
      <c r="C135" s="293"/>
      <c r="D135" s="304"/>
      <c r="E135" s="297"/>
      <c r="F135" s="292"/>
      <c r="G135" s="297"/>
      <c r="H135" s="298"/>
      <c r="I135" s="292"/>
    </row>
    <row r="136" spans="1:9" x14ac:dyDescent="0.3">
      <c r="A136" s="299"/>
      <c r="B136" s="156"/>
      <c r="C136" s="293"/>
      <c r="D136" s="304"/>
      <c r="E136" s="297"/>
      <c r="F136" s="292"/>
      <c r="G136" s="297"/>
      <c r="H136" s="298"/>
      <c r="I136" s="303"/>
    </row>
    <row r="137" spans="1:9" x14ac:dyDescent="0.3">
      <c r="A137" s="299"/>
      <c r="B137" s="156"/>
      <c r="C137" s="293"/>
      <c r="D137" s="304"/>
      <c r="E137" s="297"/>
      <c r="F137" s="292"/>
      <c r="G137" s="297"/>
      <c r="H137" s="298"/>
      <c r="I137" s="292"/>
    </row>
    <row r="138" spans="1:9" x14ac:dyDescent="0.3">
      <c r="A138" s="299"/>
      <c r="B138" s="156"/>
      <c r="C138" s="293"/>
      <c r="D138" s="304"/>
      <c r="E138" s="297"/>
      <c r="F138" s="292"/>
      <c r="G138" s="297"/>
      <c r="H138" s="298"/>
      <c r="I138" s="292"/>
    </row>
    <row r="139" spans="1:9" x14ac:dyDescent="0.3">
      <c r="A139" s="299"/>
      <c r="B139" s="156"/>
      <c r="C139" s="293"/>
      <c r="D139" s="304"/>
      <c r="E139" s="297"/>
      <c r="F139" s="292"/>
      <c r="G139" s="297"/>
      <c r="H139" s="298"/>
      <c r="I139" s="300"/>
    </row>
    <row r="140" spans="1:9" x14ac:dyDescent="0.3">
      <c r="A140" s="299"/>
      <c r="B140" s="156"/>
      <c r="C140" s="293"/>
      <c r="D140" s="304"/>
      <c r="E140" s="297"/>
      <c r="F140" s="292"/>
      <c r="G140" s="297"/>
      <c r="H140" s="298"/>
      <c r="I140" s="300"/>
    </row>
    <row r="141" spans="1:9" x14ac:dyDescent="0.3">
      <c r="A141" s="299"/>
      <c r="B141" s="156"/>
      <c r="C141" s="293"/>
      <c r="D141" s="304"/>
      <c r="E141" s="297"/>
      <c r="F141" s="292"/>
      <c r="G141" s="297"/>
      <c r="H141" s="298"/>
      <c r="I141" s="300"/>
    </row>
    <row r="142" spans="1:9" x14ac:dyDescent="0.3">
      <c r="A142" s="299"/>
      <c r="B142" s="156"/>
      <c r="C142" s="293"/>
      <c r="D142" s="304"/>
      <c r="E142" s="297"/>
      <c r="F142" s="292"/>
      <c r="G142" s="297"/>
      <c r="H142" s="298"/>
      <c r="I142" s="292"/>
    </row>
    <row r="143" spans="1:9" x14ac:dyDescent="0.3">
      <c r="A143" s="299"/>
      <c r="B143" s="156"/>
      <c r="C143" s="293"/>
      <c r="D143" s="304"/>
      <c r="E143" s="297"/>
      <c r="F143" s="292"/>
      <c r="G143" s="297"/>
      <c r="H143" s="298"/>
      <c r="I143" s="300"/>
    </row>
    <row r="144" spans="1:9" x14ac:dyDescent="0.3">
      <c r="A144" s="299"/>
      <c r="B144" s="156"/>
      <c r="C144" s="293"/>
      <c r="D144" s="304"/>
      <c r="E144" s="297"/>
      <c r="F144" s="292"/>
      <c r="G144" s="297"/>
      <c r="H144" s="298"/>
      <c r="I144" s="303"/>
    </row>
    <row r="145" spans="1:9" x14ac:dyDescent="0.3">
      <c r="A145" s="299"/>
      <c r="B145" s="156"/>
      <c r="C145" s="293"/>
      <c r="D145" s="304"/>
      <c r="E145" s="297"/>
      <c r="F145" s="292"/>
      <c r="G145" s="297"/>
      <c r="H145" s="298"/>
      <c r="I145" s="300"/>
    </row>
    <row r="146" spans="1:9" x14ac:dyDescent="0.3">
      <c r="A146" s="299"/>
      <c r="B146" s="156"/>
      <c r="C146" s="293"/>
      <c r="D146" s="304"/>
      <c r="E146" s="297"/>
      <c r="F146" s="292"/>
      <c r="G146" s="297"/>
      <c r="H146" s="298"/>
      <c r="I146" s="292"/>
    </row>
    <row r="147" spans="1:9" x14ac:dyDescent="0.3">
      <c r="A147" s="299"/>
      <c r="B147" s="156"/>
      <c r="C147" s="293"/>
      <c r="D147" s="304"/>
      <c r="E147" s="297"/>
      <c r="F147" s="292"/>
      <c r="G147" s="297"/>
      <c r="H147" s="298"/>
      <c r="I147" s="292"/>
    </row>
    <row r="148" spans="1:9" x14ac:dyDescent="0.3">
      <c r="A148" s="299"/>
      <c r="B148" s="156"/>
      <c r="C148" s="293"/>
      <c r="D148" s="304"/>
      <c r="E148" s="297"/>
      <c r="F148" s="292"/>
      <c r="G148" s="297"/>
      <c r="H148" s="298"/>
      <c r="I148" s="300"/>
    </row>
    <row r="149" spans="1:9" x14ac:dyDescent="0.3">
      <c r="A149" s="299"/>
      <c r="B149" s="156"/>
      <c r="C149" s="293"/>
      <c r="D149" s="304"/>
      <c r="E149" s="297"/>
      <c r="F149" s="292"/>
      <c r="G149" s="297"/>
      <c r="H149" s="298"/>
      <c r="I149" s="292"/>
    </row>
    <row r="150" spans="1:9" x14ac:dyDescent="0.3">
      <c r="A150" s="299"/>
      <c r="B150" s="156"/>
      <c r="C150" s="293"/>
      <c r="D150" s="304"/>
      <c r="E150" s="297"/>
      <c r="F150" s="292"/>
      <c r="G150" s="297"/>
      <c r="H150" s="298"/>
      <c r="I150" s="300"/>
    </row>
    <row r="151" spans="1:9" x14ac:dyDescent="0.3">
      <c r="A151" s="299"/>
      <c r="B151" s="156"/>
      <c r="C151" s="293"/>
      <c r="D151" s="304"/>
      <c r="E151" s="297"/>
      <c r="F151" s="292"/>
      <c r="G151" s="297"/>
      <c r="H151" s="298"/>
      <c r="I151" s="300"/>
    </row>
    <row r="152" spans="1:9" x14ac:dyDescent="0.3">
      <c r="A152" s="299"/>
      <c r="B152" s="156"/>
      <c r="C152" s="293"/>
      <c r="D152" s="304"/>
      <c r="E152" s="297"/>
      <c r="F152" s="292"/>
      <c r="G152" s="297"/>
      <c r="H152" s="298"/>
      <c r="I152" s="292"/>
    </row>
    <row r="153" spans="1:9" x14ac:dyDescent="0.3">
      <c r="A153" s="299"/>
      <c r="B153" s="156"/>
      <c r="C153" s="293"/>
      <c r="D153" s="304"/>
      <c r="E153" s="297"/>
      <c r="F153" s="292"/>
      <c r="G153" s="297"/>
      <c r="H153" s="298"/>
      <c r="I153" s="292"/>
    </row>
    <row r="154" spans="1:9" x14ac:dyDescent="0.3">
      <c r="A154" s="299"/>
      <c r="B154" s="156"/>
      <c r="C154" s="293"/>
      <c r="D154" s="304"/>
      <c r="E154" s="297"/>
      <c r="F154" s="292"/>
      <c r="G154" s="297"/>
      <c r="H154" s="298"/>
      <c r="I154" s="292"/>
    </row>
    <row r="155" spans="1:9" x14ac:dyDescent="0.3">
      <c r="A155" s="299"/>
      <c r="B155" s="156"/>
      <c r="C155" s="293"/>
      <c r="D155" s="304"/>
      <c r="E155" s="297"/>
      <c r="F155" s="292"/>
      <c r="G155" s="297"/>
      <c r="H155" s="298"/>
      <c r="I155" s="300"/>
    </row>
    <row r="156" spans="1:9" x14ac:dyDescent="0.3">
      <c r="A156" s="299"/>
      <c r="B156" s="156"/>
      <c r="C156" s="293"/>
      <c r="D156" s="304"/>
      <c r="E156" s="297"/>
      <c r="F156" s="292"/>
      <c r="G156" s="297"/>
      <c r="H156" s="298"/>
      <c r="I156" s="300"/>
    </row>
    <row r="157" spans="1:9" x14ac:dyDescent="0.3">
      <c r="A157" s="299"/>
      <c r="B157" s="156"/>
      <c r="C157" s="293"/>
      <c r="D157" s="304"/>
      <c r="E157" s="297"/>
      <c r="F157" s="292"/>
      <c r="G157" s="297"/>
      <c r="H157" s="298"/>
      <c r="I157" s="300"/>
    </row>
    <row r="158" spans="1:9" x14ac:dyDescent="0.3">
      <c r="A158" s="299"/>
      <c r="B158" s="156"/>
      <c r="C158" s="293"/>
      <c r="D158" s="304"/>
      <c r="E158" s="297"/>
      <c r="F158" s="292"/>
      <c r="G158" s="297"/>
      <c r="H158" s="298"/>
      <c r="I158" s="300"/>
    </row>
    <row r="159" spans="1:9" x14ac:dyDescent="0.3">
      <c r="A159" s="299"/>
      <c r="B159" s="156"/>
      <c r="C159" s="293"/>
      <c r="D159" s="304"/>
      <c r="E159" s="297"/>
      <c r="F159" s="292"/>
      <c r="G159" s="297"/>
      <c r="H159" s="298"/>
      <c r="I159" s="300"/>
    </row>
    <row r="160" spans="1:9" x14ac:dyDescent="0.3">
      <c r="A160" s="299"/>
      <c r="B160" s="156"/>
      <c r="C160" s="293"/>
      <c r="D160" s="304"/>
      <c r="E160" s="297"/>
      <c r="F160" s="292"/>
      <c r="G160" s="297"/>
      <c r="H160" s="298"/>
      <c r="I160" s="300"/>
    </row>
    <row r="161" spans="1:9" x14ac:dyDescent="0.3">
      <c r="A161" s="299"/>
      <c r="B161" s="156"/>
      <c r="C161" s="293"/>
      <c r="D161" s="304"/>
      <c r="E161" s="297"/>
      <c r="F161" s="292"/>
      <c r="G161" s="297"/>
      <c r="H161" s="298"/>
      <c r="I161" s="302"/>
    </row>
    <row r="162" spans="1:9" x14ac:dyDescent="0.3">
      <c r="A162" s="299"/>
      <c r="B162" s="156"/>
      <c r="C162" s="293"/>
      <c r="D162" s="304"/>
      <c r="E162" s="297"/>
      <c r="F162" s="292"/>
      <c r="G162" s="297"/>
      <c r="H162" s="298"/>
      <c r="I162" s="292"/>
    </row>
    <row r="163" spans="1:9" x14ac:dyDescent="0.3">
      <c r="A163" s="299"/>
      <c r="B163" s="156"/>
      <c r="C163" s="293"/>
      <c r="D163" s="304"/>
      <c r="E163" s="297"/>
      <c r="F163" s="292"/>
      <c r="G163" s="297"/>
      <c r="H163" s="298"/>
      <c r="I163" s="300"/>
    </row>
    <row r="164" spans="1:9" x14ac:dyDescent="0.3">
      <c r="A164" s="299"/>
      <c r="B164" s="156"/>
      <c r="C164" s="293"/>
      <c r="D164" s="304"/>
      <c r="E164" s="297"/>
      <c r="F164" s="292"/>
      <c r="G164" s="297"/>
      <c r="H164" s="298"/>
      <c r="I164" s="292"/>
    </row>
    <row r="165" spans="1:9" x14ac:dyDescent="0.3">
      <c r="A165" s="299"/>
      <c r="B165" s="156"/>
      <c r="C165" s="293"/>
      <c r="D165" s="304"/>
      <c r="E165" s="297"/>
      <c r="F165" s="292"/>
      <c r="G165" s="297"/>
      <c r="H165" s="298"/>
      <c r="I165" s="292"/>
    </row>
    <row r="166" spans="1:9" x14ac:dyDescent="0.3">
      <c r="A166" s="299"/>
      <c r="B166" s="156"/>
      <c r="C166" s="293"/>
      <c r="D166" s="304"/>
      <c r="E166" s="297"/>
      <c r="F166" s="292"/>
      <c r="G166" s="297"/>
      <c r="H166" s="298"/>
      <c r="I166" s="300"/>
    </row>
    <row r="167" spans="1:9" x14ac:dyDescent="0.3">
      <c r="A167" s="299"/>
      <c r="B167" s="156"/>
      <c r="C167" s="293"/>
      <c r="D167" s="304"/>
      <c r="E167" s="297"/>
      <c r="F167" s="292"/>
      <c r="G167" s="297"/>
      <c r="H167" s="298"/>
      <c r="I167" s="292"/>
    </row>
    <row r="168" spans="1:9" x14ac:dyDescent="0.3">
      <c r="A168" s="299"/>
      <c r="B168" s="156"/>
      <c r="C168" s="293"/>
      <c r="D168" s="304"/>
      <c r="E168" s="297"/>
      <c r="F168" s="292"/>
      <c r="G168" s="297"/>
      <c r="H168" s="298"/>
      <c r="I168" s="292"/>
    </row>
    <row r="169" spans="1:9" x14ac:dyDescent="0.3">
      <c r="A169" s="299"/>
      <c r="B169" s="156"/>
      <c r="C169" s="293"/>
      <c r="D169" s="304"/>
      <c r="E169" s="297"/>
      <c r="F169" s="292"/>
      <c r="G169" s="297"/>
      <c r="H169" s="298"/>
      <c r="I169" s="300"/>
    </row>
    <row r="170" spans="1:9" x14ac:dyDescent="0.3">
      <c r="A170" s="299"/>
      <c r="B170" s="156"/>
      <c r="C170" s="293"/>
      <c r="D170" s="304"/>
      <c r="E170" s="297"/>
      <c r="F170" s="292"/>
      <c r="G170" s="297"/>
      <c r="H170" s="298"/>
      <c r="I170" s="292"/>
    </row>
    <row r="171" spans="1:9" x14ac:dyDescent="0.3">
      <c r="A171" s="299"/>
      <c r="B171" s="156"/>
      <c r="C171" s="293"/>
      <c r="D171" s="304"/>
      <c r="E171" s="297"/>
      <c r="F171" s="292"/>
      <c r="G171" s="297"/>
      <c r="H171" s="298"/>
      <c r="I171" s="292"/>
    </row>
    <row r="172" spans="1:9" x14ac:dyDescent="0.3">
      <c r="A172" s="299"/>
      <c r="B172" s="156"/>
      <c r="C172" s="293"/>
      <c r="D172" s="304"/>
      <c r="E172" s="297"/>
      <c r="F172" s="292"/>
      <c r="G172" s="297"/>
      <c r="H172" s="298"/>
      <c r="I172" s="300"/>
    </row>
    <row r="173" spans="1:9" x14ac:dyDescent="0.3">
      <c r="A173" s="299"/>
      <c r="B173" s="156"/>
      <c r="C173" s="293"/>
      <c r="D173" s="304"/>
      <c r="E173" s="297"/>
      <c r="F173" s="292"/>
      <c r="G173" s="297"/>
      <c r="H173" s="298"/>
      <c r="I173" s="292"/>
    </row>
    <row r="174" spans="1:9" x14ac:dyDescent="0.3">
      <c r="A174" s="299"/>
      <c r="B174" s="156"/>
      <c r="C174" s="293"/>
      <c r="D174" s="304"/>
      <c r="E174" s="297"/>
      <c r="F174" s="292"/>
      <c r="G174" s="297"/>
      <c r="H174" s="298"/>
      <c r="I174" s="300"/>
    </row>
    <row r="175" spans="1:9" x14ac:dyDescent="0.3">
      <c r="A175" s="299"/>
      <c r="B175" s="156"/>
      <c r="C175" s="293"/>
      <c r="D175" s="304"/>
      <c r="E175" s="297"/>
      <c r="F175" s="292"/>
      <c r="G175" s="297"/>
      <c r="H175" s="298"/>
      <c r="I175" s="292"/>
    </row>
    <row r="176" spans="1:9" x14ac:dyDescent="0.3">
      <c r="A176" s="299"/>
      <c r="B176" s="156"/>
      <c r="C176" s="293"/>
      <c r="D176" s="304"/>
      <c r="E176" s="297"/>
      <c r="F176" s="292"/>
      <c r="G176" s="297"/>
      <c r="H176" s="298"/>
      <c r="I176" s="300"/>
    </row>
    <row r="177" spans="1:9" x14ac:dyDescent="0.3">
      <c r="A177" s="299"/>
      <c r="B177" s="156"/>
      <c r="C177" s="293"/>
      <c r="D177" s="304"/>
      <c r="E177" s="297"/>
      <c r="F177" s="292"/>
      <c r="G177" s="297"/>
      <c r="H177" s="298"/>
      <c r="I177" s="292"/>
    </row>
    <row r="178" spans="1:9" x14ac:dyDescent="0.3">
      <c r="A178" s="299"/>
      <c r="B178" s="156"/>
      <c r="C178" s="293"/>
      <c r="D178" s="304"/>
      <c r="E178" s="297"/>
      <c r="F178" s="292"/>
      <c r="G178" s="297"/>
      <c r="H178" s="298"/>
      <c r="I178" s="292"/>
    </row>
    <row r="179" spans="1:9" x14ac:dyDescent="0.3">
      <c r="A179" s="299"/>
      <c r="B179" s="156"/>
      <c r="C179" s="293"/>
      <c r="D179" s="304"/>
      <c r="E179" s="297"/>
      <c r="F179" s="292"/>
      <c r="G179" s="297"/>
      <c r="H179" s="298"/>
      <c r="I179" s="292"/>
    </row>
    <row r="180" spans="1:9" x14ac:dyDescent="0.3">
      <c r="A180" s="299"/>
      <c r="B180" s="156"/>
      <c r="C180" s="293"/>
      <c r="D180" s="304"/>
      <c r="E180" s="297"/>
      <c r="F180" s="292"/>
      <c r="G180" s="297"/>
      <c r="H180" s="298"/>
      <c r="I180" s="300"/>
    </row>
    <row r="181" spans="1:9" x14ac:dyDescent="0.3">
      <c r="A181" s="299"/>
      <c r="B181" s="156"/>
      <c r="C181" s="293"/>
      <c r="D181" s="304"/>
      <c r="E181" s="297"/>
      <c r="F181" s="292"/>
      <c r="G181" s="297"/>
      <c r="H181" s="298"/>
      <c r="I181" s="292"/>
    </row>
    <row r="182" spans="1:9" x14ac:dyDescent="0.3">
      <c r="A182" s="299"/>
      <c r="B182" s="156"/>
      <c r="C182" s="293"/>
      <c r="D182" s="304"/>
      <c r="E182" s="297"/>
      <c r="F182" s="292"/>
      <c r="G182" s="297"/>
      <c r="H182" s="298"/>
      <c r="I182" s="300"/>
    </row>
    <row r="183" spans="1:9" x14ac:dyDescent="0.3">
      <c r="A183" s="299"/>
      <c r="B183" s="156"/>
      <c r="C183" s="293"/>
      <c r="D183" s="304"/>
      <c r="E183" s="297"/>
      <c r="F183" s="292"/>
      <c r="G183" s="297"/>
      <c r="H183" s="298"/>
      <c r="I183" s="300"/>
    </row>
    <row r="184" spans="1:9" x14ac:dyDescent="0.3">
      <c r="A184" s="299"/>
      <c r="B184" s="156"/>
      <c r="C184" s="293"/>
      <c r="D184" s="304"/>
      <c r="E184" s="297"/>
      <c r="F184" s="292"/>
      <c r="G184" s="297"/>
      <c r="H184" s="298"/>
      <c r="I184" s="292"/>
    </row>
    <row r="185" spans="1:9" x14ac:dyDescent="0.3">
      <c r="A185" s="299"/>
      <c r="B185" s="156"/>
      <c r="C185" s="293"/>
      <c r="D185" s="304"/>
      <c r="E185" s="297"/>
      <c r="F185" s="292"/>
      <c r="G185" s="297"/>
      <c r="H185" s="298"/>
      <c r="I185" s="292"/>
    </row>
    <row r="186" spans="1:9" x14ac:dyDescent="0.3">
      <c r="A186" s="299"/>
      <c r="B186" s="156"/>
      <c r="C186" s="293"/>
      <c r="D186" s="304"/>
      <c r="E186" s="297"/>
      <c r="F186" s="292"/>
      <c r="G186" s="297"/>
      <c r="H186" s="298"/>
      <c r="I186" s="292"/>
    </row>
    <row r="187" spans="1:9" x14ac:dyDescent="0.3">
      <c r="A187" s="299"/>
      <c r="B187" s="156"/>
      <c r="C187" s="293"/>
      <c r="D187" s="304"/>
      <c r="E187" s="297"/>
      <c r="F187" s="292"/>
      <c r="G187" s="297"/>
      <c r="H187" s="298"/>
      <c r="I187" s="300"/>
    </row>
    <row r="188" spans="1:9" x14ac:dyDescent="0.3">
      <c r="A188" s="299"/>
      <c r="B188" s="156"/>
      <c r="C188" s="293"/>
      <c r="D188" s="304"/>
      <c r="E188" s="297"/>
      <c r="F188" s="292"/>
      <c r="G188" s="297"/>
      <c r="H188" s="298"/>
      <c r="I188" s="302"/>
    </row>
    <row r="189" spans="1:9" x14ac:dyDescent="0.3">
      <c r="A189" s="299"/>
      <c r="B189" s="156"/>
      <c r="C189" s="293"/>
      <c r="D189" s="304"/>
      <c r="E189" s="297"/>
      <c r="F189" s="292"/>
      <c r="G189" s="297"/>
      <c r="H189" s="298"/>
      <c r="I189" s="300"/>
    </row>
    <row r="190" spans="1:9" x14ac:dyDescent="0.3">
      <c r="A190" s="299"/>
      <c r="B190" s="156"/>
      <c r="C190" s="293"/>
      <c r="D190" s="304"/>
      <c r="E190" s="297"/>
      <c r="F190" s="292"/>
      <c r="G190" s="297"/>
      <c r="H190" s="298"/>
      <c r="I190" s="300"/>
    </row>
    <row r="191" spans="1:9" x14ac:dyDescent="0.3">
      <c r="A191" s="299"/>
      <c r="B191" s="156"/>
      <c r="C191" s="293"/>
      <c r="D191" s="304"/>
      <c r="E191" s="297"/>
      <c r="F191" s="292"/>
      <c r="G191" s="297"/>
      <c r="H191" s="298"/>
      <c r="I191" s="300"/>
    </row>
    <row r="192" spans="1:9" x14ac:dyDescent="0.3">
      <c r="A192" s="299"/>
      <c r="B192" s="156"/>
      <c r="C192" s="293"/>
      <c r="D192" s="304"/>
      <c r="E192" s="297"/>
      <c r="F192" s="292"/>
      <c r="G192" s="297"/>
      <c r="H192" s="298"/>
      <c r="I192" s="300"/>
    </row>
    <row r="193" spans="1:9" x14ac:dyDescent="0.3">
      <c r="A193" s="299"/>
      <c r="B193" s="156"/>
      <c r="C193" s="293"/>
      <c r="D193" s="304"/>
      <c r="E193" s="297"/>
      <c r="F193" s="292"/>
      <c r="G193" s="297"/>
      <c r="H193" s="298"/>
      <c r="I193" s="292"/>
    </row>
    <row r="194" spans="1:9" x14ac:dyDescent="0.3">
      <c r="A194" s="299"/>
      <c r="B194" s="156"/>
      <c r="C194" s="293"/>
      <c r="D194" s="304"/>
      <c r="E194" s="297"/>
      <c r="F194" s="292"/>
      <c r="G194" s="297"/>
      <c r="H194" s="298"/>
      <c r="I194" s="302"/>
    </row>
    <row r="195" spans="1:9" x14ac:dyDescent="0.3">
      <c r="A195" s="299"/>
      <c r="B195" s="156"/>
      <c r="C195" s="293"/>
      <c r="D195" s="304"/>
      <c r="E195" s="297"/>
      <c r="F195" s="292"/>
      <c r="G195" s="297"/>
      <c r="H195" s="298"/>
      <c r="I195" s="303"/>
    </row>
    <row r="196" spans="1:9" x14ac:dyDescent="0.3">
      <c r="A196" s="299"/>
      <c r="B196" s="156"/>
      <c r="C196" s="293"/>
      <c r="D196" s="304"/>
      <c r="E196" s="297"/>
      <c r="F196" s="292"/>
      <c r="G196" s="297"/>
      <c r="H196" s="298"/>
      <c r="I196" s="300"/>
    </row>
    <row r="197" spans="1:9" x14ac:dyDescent="0.3">
      <c r="A197" s="299"/>
      <c r="B197" s="156"/>
      <c r="C197" s="293"/>
      <c r="D197" s="304"/>
      <c r="E197" s="297"/>
      <c r="F197" s="292"/>
      <c r="G197" s="297"/>
      <c r="H197" s="298"/>
      <c r="I197" s="300"/>
    </row>
    <row r="198" spans="1:9" x14ac:dyDescent="0.3">
      <c r="A198" s="299"/>
      <c r="B198" s="156"/>
      <c r="C198" s="293"/>
      <c r="D198" s="304"/>
      <c r="E198" s="297"/>
      <c r="F198" s="292"/>
      <c r="G198" s="297"/>
      <c r="H198" s="298"/>
      <c r="I198" s="300"/>
    </row>
    <row r="199" spans="1:9" x14ac:dyDescent="0.3">
      <c r="A199" s="299"/>
      <c r="B199" s="156"/>
      <c r="C199" s="293"/>
      <c r="D199" s="304"/>
      <c r="E199" s="297"/>
      <c r="F199" s="292"/>
      <c r="G199" s="297"/>
      <c r="H199" s="298"/>
      <c r="I199" s="292"/>
    </row>
    <row r="200" spans="1:9" x14ac:dyDescent="0.3">
      <c r="A200" s="299"/>
      <c r="B200" s="156"/>
      <c r="C200" s="293"/>
      <c r="D200" s="304"/>
      <c r="E200" s="297"/>
      <c r="F200" s="292"/>
      <c r="G200" s="297"/>
      <c r="H200" s="298"/>
      <c r="I200" s="300"/>
    </row>
    <row r="201" spans="1:9" x14ac:dyDescent="0.3">
      <c r="A201" s="299"/>
      <c r="B201" s="156"/>
      <c r="C201" s="293"/>
      <c r="D201" s="304"/>
      <c r="E201" s="297"/>
      <c r="F201" s="292"/>
      <c r="G201" s="297"/>
      <c r="H201" s="298"/>
      <c r="I201" s="292"/>
    </row>
    <row r="202" spans="1:9" x14ac:dyDescent="0.3">
      <c r="A202" s="299"/>
      <c r="B202" s="156"/>
      <c r="C202" s="293"/>
      <c r="D202" s="304"/>
      <c r="E202" s="297"/>
      <c r="F202" s="292"/>
      <c r="G202" s="297"/>
      <c r="H202" s="298"/>
      <c r="I202" s="300"/>
    </row>
    <row r="203" spans="1:9" x14ac:dyDescent="0.3">
      <c r="A203" s="299"/>
      <c r="B203" s="156"/>
      <c r="C203" s="293"/>
      <c r="D203" s="304"/>
      <c r="E203" s="297"/>
      <c r="F203" s="292"/>
      <c r="G203" s="297"/>
      <c r="H203" s="298"/>
      <c r="I203" s="300"/>
    </row>
    <row r="204" spans="1:9" x14ac:dyDescent="0.3">
      <c r="A204" s="299"/>
      <c r="B204" s="156"/>
      <c r="C204" s="293"/>
      <c r="D204" s="304"/>
      <c r="E204" s="297"/>
      <c r="F204" s="292"/>
      <c r="G204" s="297"/>
      <c r="H204" s="298"/>
      <c r="I204" s="300"/>
    </row>
    <row r="205" spans="1:9" x14ac:dyDescent="0.3">
      <c r="A205" s="299"/>
      <c r="B205" s="156"/>
      <c r="C205" s="293"/>
      <c r="D205" s="304"/>
      <c r="E205" s="297"/>
      <c r="F205" s="292"/>
      <c r="G205" s="297"/>
      <c r="H205" s="298"/>
      <c r="I205" s="292"/>
    </row>
    <row r="206" spans="1:9" x14ac:dyDescent="0.3">
      <c r="A206" s="299"/>
      <c r="B206" s="156"/>
      <c r="C206" s="293"/>
      <c r="D206" s="304"/>
      <c r="E206" s="297"/>
      <c r="F206" s="292"/>
      <c r="G206" s="297"/>
      <c r="H206" s="298"/>
      <c r="I206" s="300"/>
    </row>
    <row r="207" spans="1:9" x14ac:dyDescent="0.3">
      <c r="A207" s="299"/>
      <c r="B207" s="156"/>
      <c r="C207" s="293"/>
      <c r="D207" s="304"/>
      <c r="E207" s="297"/>
      <c r="F207" s="292"/>
      <c r="G207" s="297"/>
      <c r="H207" s="298"/>
      <c r="I207" s="300"/>
    </row>
    <row r="208" spans="1:9" x14ac:dyDescent="0.3">
      <c r="A208" s="299"/>
      <c r="B208" s="156"/>
      <c r="C208" s="156"/>
      <c r="D208" s="304"/>
      <c r="E208" s="297"/>
      <c r="F208" s="292"/>
      <c r="G208" s="297"/>
      <c r="H208" s="298"/>
      <c r="I208" s="300"/>
    </row>
    <row r="209" spans="1:9" x14ac:dyDescent="0.3">
      <c r="A209" s="299"/>
      <c r="B209" s="156"/>
      <c r="C209" s="293"/>
      <c r="D209" s="304"/>
      <c r="E209" s="297"/>
      <c r="F209" s="292"/>
      <c r="G209" s="297"/>
      <c r="H209" s="298"/>
      <c r="I209" s="302"/>
    </row>
    <row r="210" spans="1:9" x14ac:dyDescent="0.3">
      <c r="A210" s="299"/>
      <c r="B210" s="156"/>
      <c r="C210" s="293"/>
      <c r="D210" s="304"/>
      <c r="E210" s="297"/>
      <c r="F210" s="292"/>
      <c r="G210" s="297"/>
      <c r="H210" s="298"/>
      <c r="I210" s="292"/>
    </row>
    <row r="211" spans="1:9" x14ac:dyDescent="0.3">
      <c r="A211" s="299"/>
      <c r="B211" s="156"/>
      <c r="C211" s="293"/>
      <c r="D211" s="304"/>
      <c r="E211" s="297"/>
      <c r="F211" s="292"/>
      <c r="G211" s="297"/>
      <c r="H211" s="298"/>
      <c r="I211" s="300"/>
    </row>
    <row r="212" spans="1:9" x14ac:dyDescent="0.3">
      <c r="A212" s="299"/>
      <c r="B212" s="156"/>
      <c r="C212" s="293"/>
      <c r="D212" s="304"/>
      <c r="E212" s="297"/>
      <c r="F212" s="292"/>
      <c r="G212" s="297"/>
      <c r="H212" s="298"/>
      <c r="I212" s="292"/>
    </row>
    <row r="213" spans="1:9" x14ac:dyDescent="0.3">
      <c r="A213" s="299"/>
      <c r="B213" s="156"/>
      <c r="C213" s="293"/>
      <c r="D213" s="304"/>
      <c r="E213" s="297"/>
      <c r="F213" s="292"/>
      <c r="G213" s="297"/>
      <c r="H213" s="298"/>
      <c r="I213" s="300"/>
    </row>
    <row r="214" spans="1:9" x14ac:dyDescent="0.3">
      <c r="A214" s="299"/>
      <c r="B214" s="156"/>
      <c r="C214" s="293"/>
      <c r="D214" s="304"/>
      <c r="E214" s="297"/>
      <c r="F214" s="292"/>
      <c r="G214" s="297"/>
      <c r="H214" s="298"/>
      <c r="I214" s="300"/>
    </row>
    <row r="215" spans="1:9" x14ac:dyDescent="0.3">
      <c r="A215" s="299"/>
      <c r="B215" s="156"/>
      <c r="C215" s="293"/>
      <c r="D215" s="304"/>
      <c r="E215" s="297"/>
      <c r="F215" s="292"/>
      <c r="G215" s="297"/>
      <c r="H215" s="298"/>
      <c r="I215" s="300"/>
    </row>
    <row r="216" spans="1:9" x14ac:dyDescent="0.3">
      <c r="A216" s="299"/>
      <c r="B216" s="156"/>
      <c r="C216" s="293"/>
      <c r="D216" s="304"/>
      <c r="E216" s="297"/>
      <c r="F216" s="292"/>
      <c r="G216" s="297"/>
      <c r="H216" s="298"/>
      <c r="I216" s="292"/>
    </row>
    <row r="217" spans="1:9" x14ac:dyDescent="0.3">
      <c r="A217" s="299"/>
      <c r="B217" s="156"/>
      <c r="C217" s="293"/>
      <c r="D217" s="304"/>
      <c r="E217" s="297"/>
      <c r="F217" s="292"/>
      <c r="G217" s="297"/>
      <c r="H217" s="298"/>
      <c r="I217" s="300"/>
    </row>
    <row r="218" spans="1:9" x14ac:dyDescent="0.3">
      <c r="A218" s="299"/>
      <c r="B218" s="156"/>
      <c r="C218" s="293"/>
      <c r="D218" s="304"/>
      <c r="E218" s="297"/>
      <c r="F218" s="292"/>
      <c r="G218" s="297"/>
      <c r="H218" s="298"/>
      <c r="I218" s="292"/>
    </row>
    <row r="219" spans="1:9" x14ac:dyDescent="0.3">
      <c r="A219" s="299"/>
      <c r="B219" s="156"/>
      <c r="C219" s="293"/>
      <c r="D219" s="304"/>
      <c r="E219" s="297"/>
      <c r="F219" s="292"/>
      <c r="G219" s="297"/>
      <c r="H219" s="298"/>
      <c r="I219" s="300"/>
    </row>
    <row r="220" spans="1:9" x14ac:dyDescent="0.3">
      <c r="A220" s="299"/>
      <c r="B220" s="156"/>
      <c r="C220" s="156"/>
      <c r="D220" s="304"/>
      <c r="E220" s="297"/>
      <c r="F220" s="292"/>
      <c r="G220" s="297"/>
      <c r="H220" s="298"/>
      <c r="I220" s="300"/>
    </row>
    <row r="221" spans="1:9" x14ac:dyDescent="0.3">
      <c r="A221" s="299"/>
      <c r="B221" s="156"/>
      <c r="C221" s="156"/>
      <c r="D221" s="304"/>
      <c r="E221" s="297"/>
      <c r="F221" s="292"/>
      <c r="G221" s="297"/>
      <c r="H221" s="298"/>
      <c r="I221" s="300"/>
    </row>
    <row r="222" spans="1:9" x14ac:dyDescent="0.3">
      <c r="A222" s="299"/>
      <c r="B222" s="156"/>
      <c r="C222" s="156"/>
      <c r="D222" s="304"/>
      <c r="E222" s="297"/>
      <c r="F222" s="292"/>
      <c r="G222" s="297"/>
      <c r="H222" s="298"/>
      <c r="I222" s="300"/>
    </row>
    <row r="223" spans="1:9" x14ac:dyDescent="0.3">
      <c r="A223" s="299"/>
      <c r="B223" s="156"/>
      <c r="C223" s="156"/>
      <c r="D223" s="304"/>
      <c r="E223" s="297"/>
      <c r="F223" s="292"/>
      <c r="G223" s="297"/>
      <c r="H223" s="298"/>
      <c r="I223" s="300"/>
    </row>
    <row r="224" spans="1:9" x14ac:dyDescent="0.3">
      <c r="A224" s="299"/>
      <c r="B224" s="156"/>
      <c r="C224" s="156"/>
      <c r="D224" s="304"/>
      <c r="E224" s="297"/>
      <c r="F224" s="292"/>
      <c r="G224" s="297"/>
      <c r="H224" s="298"/>
      <c r="I224" s="300"/>
    </row>
    <row r="225" spans="1:3" x14ac:dyDescent="0.3">
      <c r="A225" s="299"/>
      <c r="B225" s="156"/>
      <c r="C225" s="156"/>
    </row>
    <row r="226" spans="1:3" x14ac:dyDescent="0.3">
      <c r="A226" s="299"/>
      <c r="B226" s="156"/>
      <c r="C226" s="156"/>
    </row>
    <row r="227" spans="1:3" x14ac:dyDescent="0.3">
      <c r="A227" s="299"/>
      <c r="B227" s="156"/>
      <c r="C227" s="156"/>
    </row>
    <row r="228" spans="1:3" x14ac:dyDescent="0.3">
      <c r="A228" s="299"/>
      <c r="B228" s="156"/>
      <c r="C228" s="156"/>
    </row>
    <row r="229" spans="1:3" x14ac:dyDescent="0.3">
      <c r="A229" s="299"/>
      <c r="B229" s="156"/>
      <c r="C229" s="156"/>
    </row>
    <row r="230" spans="1:3" x14ac:dyDescent="0.3">
      <c r="A230" s="299"/>
      <c r="B230" s="156"/>
      <c r="C230" s="156"/>
    </row>
    <row r="231" spans="1:3" x14ac:dyDescent="0.3">
      <c r="A231" s="299"/>
      <c r="B231" s="156"/>
      <c r="C231" s="156"/>
    </row>
    <row r="232" spans="1:3" x14ac:dyDescent="0.3">
      <c r="A232" s="299"/>
      <c r="B232" s="156"/>
      <c r="C232" s="156"/>
    </row>
    <row r="233" spans="1:3" x14ac:dyDescent="0.3">
      <c r="A233" s="299"/>
      <c r="B233" s="156"/>
      <c r="C233" s="293"/>
    </row>
    <row r="234" spans="1:3" x14ac:dyDescent="0.3">
      <c r="A234" s="299"/>
      <c r="B234" s="156"/>
      <c r="C234" s="156"/>
    </row>
    <row r="235" spans="1:3" x14ac:dyDescent="0.3">
      <c r="A235" s="299"/>
      <c r="B235" s="156"/>
      <c r="C235" s="293"/>
    </row>
    <row r="236" spans="1:3" x14ac:dyDescent="0.3">
      <c r="A236" s="299"/>
      <c r="B236" s="156"/>
      <c r="C236" s="156"/>
    </row>
    <row r="237" spans="1:3" x14ac:dyDescent="0.3">
      <c r="A237" s="299"/>
      <c r="B237" s="156"/>
      <c r="C237" s="156"/>
    </row>
    <row r="238" spans="1:3" x14ac:dyDescent="0.3">
      <c r="A238" s="299"/>
      <c r="B238" s="156"/>
      <c r="C238" s="293"/>
    </row>
    <row r="239" spans="1:3" x14ac:dyDescent="0.3">
      <c r="A239" s="299"/>
      <c r="B239" s="156"/>
      <c r="C239" s="156"/>
    </row>
    <row r="240" spans="1:3" x14ac:dyDescent="0.3">
      <c r="A240" s="299"/>
      <c r="B240" s="156"/>
      <c r="C240" s="156"/>
    </row>
    <row r="241" spans="3:3" x14ac:dyDescent="0.3">
      <c r="C241" s="293"/>
    </row>
    <row r="243" spans="3:3" x14ac:dyDescent="0.3">
      <c r="C243" s="293"/>
    </row>
    <row r="416" spans="5:7" x14ac:dyDescent="0.3">
      <c r="E416" s="297"/>
      <c r="F416" s="292"/>
      <c r="G416" s="297"/>
    </row>
  </sheetData>
  <sheetProtection sheet="1" objects="1" scenarios="1"/>
  <mergeCells count="6">
    <mergeCell ref="F5:G5"/>
    <mergeCell ref="F4:G4"/>
    <mergeCell ref="B2:C2"/>
    <mergeCell ref="B3:C3"/>
    <mergeCell ref="F2:G2"/>
    <mergeCell ref="F3:G3"/>
  </mergeCells>
  <phoneticPr fontId="2" type="noConversion"/>
  <dataValidations count="8">
    <dataValidation allowBlank="1" showInputMessage="1" showErrorMessage="1" promptTitle="Assembly" prompt="Entering a task name in the Task column will automatically enter the correct assembly and phase. Right click to enter an assembly only when necessary to correct an invalid entry." sqref="A6" xr:uid="{1B838EC6-2437-43B8-A6E7-9E9DBA015326}"/>
    <dataValidation allowBlank="1" showInputMessage="1" showErrorMessage="1" promptTitle="Phase" prompt="Entering a task name in the Task column will automatically enter the correct assembly and phase. Right click to enter a phase only when necessary to correct an invalid entry." sqref="B6" xr:uid="{ABD1D16F-0489-4EB3-A2BD-640E2F45A77A}"/>
    <dataValidation allowBlank="1" showInputMessage="1" showErrorMessage="1" promptTitle="Task" prompt="Right click to select a task. You may select from a list of all tasks, all open tasks, or use the part-&gt;task hierarchy to select the task. The correct assembly and phase name will be entered automatically." sqref="C6" xr:uid="{37F198A3-A66E-48D8-91D9-257ACCB68AB8}"/>
    <dataValidation allowBlank="1" showInputMessage="1" showErrorMessage="1" promptTitle="Date" prompt="Enter the start date in any valid Excel date format. A default value of today is entered if the task has been selected." sqref="D6" xr:uid="{52E2997E-FCE5-4BA5-9A72-805C3E13557B}"/>
    <dataValidation allowBlank="1" showInputMessage="1" showErrorMessage="1" promptTitle="Start" prompt="Enter the start time in a valid Excel time format. A default value of the system time is entered if the preceeding fields have been entered." sqref="E6" xr:uid="{C0E63567-0A98-4850-8617-F1DE91CEE8D5}"/>
    <dataValidation allowBlank="1" showInputMessage="1" showErrorMessage="1" promptTitle="Interrupt Time" prompt="Enter the interrupt time in minutes." sqref="F6" xr:uid="{82E5E4D6-98A3-42F7-8A73-7EEC364FE069}"/>
    <dataValidation allowBlank="1" showInputMessage="1" showErrorMessage="1" promptTitle="Stop" prompt="Enter the stop time in a valid Excel time format. A default value of the system time is entered if the preceeding fields have been entered." sqref="G6" xr:uid="{4F28B25F-DB99-43EB-B1A3-5A2D3A4AE102}"/>
    <dataValidation allowBlank="1" showInputMessage="1" showErrorMessage="1" promptTitle="Delta Time" prompt="Delta time is calculated from the Start time and Stop time. If the stop time is earlier than the start time, a stop date of the next day is assumed. Example: 11:30 PM to 00:30 AM is elapsed time of 60 minutes." sqref="H6" xr:uid="{7B819E3D-7FE9-4869-98CE-5C58E09BE9A5}"/>
  </dataValidations>
  <printOptions gridLines="1"/>
  <pageMargins left="0.75" right="0.75" top="1" bottom="1" header="0.5" footer="0.5"/>
  <pageSetup scale="90" orientation="landscape"/>
  <headerFooter alignWithMargins="0">
    <oddFooter>&amp;L File: &amp;F ! &amp;A&amp;R&amp;D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10D2E-96B7-49B9-A17E-F0D62CEAF387}">
  <sheetPr codeName="LOGD"/>
  <dimension ref="A1:N438"/>
  <sheetViews>
    <sheetView showRowColHeaders="0" zoomScaleNormal="100" workbookViewId="0">
      <pane ySplit="6" topLeftCell="A7" activePane="bottomLeft" state="frozenSplit"/>
      <selection activeCell="C4" sqref="C4"/>
      <selection pane="bottomLeft" activeCell="A7" sqref="A7"/>
    </sheetView>
  </sheetViews>
  <sheetFormatPr baseColWidth="10" defaultColWidth="9.1328125" defaultRowHeight="10.15" x14ac:dyDescent="0.3"/>
  <cols>
    <col min="1" max="1" width="8.73046875" style="30" customWidth="1"/>
    <col min="2" max="3" width="4.73046875" style="28" customWidth="1"/>
    <col min="4" max="4" width="10.265625" style="28" bestFit="1" customWidth="1"/>
    <col min="5" max="6" width="22.73046875" style="28" customWidth="1"/>
    <col min="7" max="7" width="5.73046875" style="27" customWidth="1"/>
    <col min="8" max="8" width="5.73046875" style="28" customWidth="1"/>
    <col min="9" max="9" width="44.73046875" style="28" customWidth="1"/>
    <col min="10" max="16384" width="9.1328125" style="29"/>
  </cols>
  <sheetData>
    <row r="1" spans="1:14" s="1" customFormat="1" ht="15" x14ac:dyDescent="0.4">
      <c r="A1" s="64" t="str">
        <f>[0]!TSPProcessName &amp; " Defect Recording Log - Form LOGD"</f>
        <v>TSPi Defect Recording Log - Form LOGD</v>
      </c>
      <c r="B1" s="64"/>
      <c r="C1" s="64"/>
      <c r="D1" s="64"/>
      <c r="E1" s="64"/>
      <c r="F1" s="64"/>
      <c r="G1" s="64"/>
      <c r="H1" s="64"/>
      <c r="I1" s="64"/>
    </row>
    <row r="2" spans="1:14" s="1" customFormat="1" ht="12.75" x14ac:dyDescent="0.35">
      <c r="A2" s="38" t="s">
        <v>312</v>
      </c>
      <c r="B2" s="350" t="str">
        <f>IF(Name=0,"",Name)</f>
        <v>Isaac Diaz Perez</v>
      </c>
      <c r="C2" s="350"/>
      <c r="D2" s="350"/>
      <c r="E2" s="38" t="s">
        <v>314</v>
      </c>
      <c r="F2" s="70">
        <f ca="1">currentDate</f>
        <v>46182</v>
      </c>
    </row>
    <row r="3" spans="1:14" s="1" customFormat="1" ht="12.75" x14ac:dyDescent="0.35">
      <c r="A3" s="38" t="s">
        <v>14</v>
      </c>
      <c r="B3" s="353" t="str">
        <f>IF(TeamName=0,"",TeamName)</f>
        <v>TSP-GRUPO B02-SUBGRUPO 3</v>
      </c>
      <c r="C3" s="353"/>
      <c r="D3" s="353"/>
      <c r="E3" s="38" t="str">
        <f>IF(Project!C5&lt;&gt;"",Project!C5,"")</f>
        <v>Instructor</v>
      </c>
      <c r="F3" s="77" t="str">
        <f>IF(InstructorName=0,"",InstructorName)</f>
        <v>Natalia Martinez Rojas</v>
      </c>
    </row>
    <row r="4" spans="1:14" s="1" customFormat="1" ht="12.75" x14ac:dyDescent="0.35">
      <c r="A4" s="38"/>
      <c r="B4" s="57"/>
      <c r="C4" s="57"/>
      <c r="D4" s="57"/>
      <c r="E4" s="38" t="s">
        <v>327</v>
      </c>
      <c r="F4" s="77">
        <f>IF(Cycle=0,"",Cycle)</f>
        <v>1</v>
      </c>
    </row>
    <row r="5" spans="1:14" s="1" customFormat="1" ht="12.75" x14ac:dyDescent="0.35">
      <c r="A5" s="36"/>
      <c r="B5" s="36"/>
      <c r="C5" s="36"/>
      <c r="D5" s="36"/>
      <c r="E5" s="36"/>
      <c r="F5" s="36"/>
      <c r="G5" s="36"/>
    </row>
    <row r="6" spans="1:14" s="26" customFormat="1" ht="24" customHeight="1" x14ac:dyDescent="0.35">
      <c r="A6" s="306" t="s">
        <v>314</v>
      </c>
      <c r="B6" s="285" t="s">
        <v>599</v>
      </c>
      <c r="C6" s="285" t="s">
        <v>600</v>
      </c>
      <c r="D6" s="285" t="s">
        <v>326</v>
      </c>
      <c r="E6" s="285" t="s">
        <v>601</v>
      </c>
      <c r="F6" s="285" t="s">
        <v>602</v>
      </c>
      <c r="G6" s="288" t="s">
        <v>603</v>
      </c>
      <c r="H6" s="285" t="s">
        <v>604</v>
      </c>
      <c r="I6" s="285" t="s">
        <v>2</v>
      </c>
      <c r="J6" s="1"/>
      <c r="K6" s="1"/>
      <c r="L6" s="1"/>
      <c r="M6" s="1"/>
      <c r="N6" s="1"/>
    </row>
    <row r="7" spans="1:14" x14ac:dyDescent="0.3">
      <c r="A7" s="307"/>
      <c r="B7" s="293"/>
      <c r="C7" s="156"/>
      <c r="D7" s="156"/>
      <c r="E7" s="156"/>
      <c r="F7" s="156"/>
      <c r="G7" s="292"/>
      <c r="H7" s="293"/>
      <c r="I7" s="300"/>
      <c r="J7" s="308"/>
      <c r="K7" s="308"/>
      <c r="L7" s="308"/>
      <c r="M7" s="308"/>
      <c r="N7" s="308"/>
    </row>
    <row r="8" spans="1:14" x14ac:dyDescent="0.3">
      <c r="A8" s="307"/>
      <c r="B8" s="293"/>
      <c r="C8" s="156"/>
      <c r="D8" s="156"/>
      <c r="E8" s="156"/>
      <c r="F8" s="156"/>
      <c r="G8" s="292"/>
      <c r="H8" s="293"/>
      <c r="I8" s="300"/>
      <c r="J8" s="308"/>
      <c r="K8" s="308"/>
      <c r="L8" s="308"/>
      <c r="M8" s="308"/>
      <c r="N8" s="308"/>
    </row>
    <row r="9" spans="1:14" x14ac:dyDescent="0.3">
      <c r="A9" s="307"/>
      <c r="B9" s="293"/>
      <c r="C9" s="156"/>
      <c r="D9" s="156"/>
      <c r="E9" s="156"/>
      <c r="F9" s="156"/>
      <c r="G9" s="292"/>
      <c r="H9" s="293"/>
      <c r="I9" s="300"/>
      <c r="J9" s="308"/>
      <c r="K9" s="308"/>
      <c r="L9" s="308"/>
      <c r="M9" s="308"/>
      <c r="N9" s="308"/>
    </row>
    <row r="10" spans="1:14" x14ac:dyDescent="0.3">
      <c r="A10" s="307"/>
      <c r="B10" s="293"/>
      <c r="C10" s="156"/>
      <c r="D10" s="156"/>
      <c r="E10" s="156"/>
      <c r="F10" s="156"/>
      <c r="G10" s="292"/>
      <c r="H10" s="293"/>
      <c r="I10" s="300"/>
      <c r="J10" s="308"/>
      <c r="K10" s="308"/>
      <c r="L10" s="308"/>
      <c r="M10" s="308"/>
      <c r="N10" s="308"/>
    </row>
    <row r="11" spans="1:14" x14ac:dyDescent="0.3">
      <c r="A11" s="307"/>
      <c r="B11" s="293"/>
      <c r="C11" s="156"/>
      <c r="D11" s="156"/>
      <c r="E11" s="156"/>
      <c r="F11" s="156"/>
      <c r="G11" s="292"/>
      <c r="H11" s="293"/>
      <c r="I11" s="300"/>
      <c r="J11" s="308"/>
      <c r="K11" s="308"/>
      <c r="L11" s="308"/>
      <c r="M11" s="308"/>
      <c r="N11" s="308"/>
    </row>
    <row r="12" spans="1:14" x14ac:dyDescent="0.3">
      <c r="A12" s="307"/>
      <c r="B12" s="293"/>
      <c r="C12" s="156"/>
      <c r="D12" s="156"/>
      <c r="E12" s="156"/>
      <c r="F12" s="156"/>
      <c r="G12" s="292"/>
      <c r="H12" s="293"/>
      <c r="I12" s="300"/>
      <c r="J12" s="308"/>
      <c r="K12" s="308"/>
      <c r="L12" s="308"/>
      <c r="M12" s="308"/>
      <c r="N12" s="308"/>
    </row>
    <row r="13" spans="1:14" x14ac:dyDescent="0.3">
      <c r="A13" s="307"/>
      <c r="B13" s="293"/>
      <c r="C13" s="156"/>
      <c r="D13" s="156"/>
      <c r="E13" s="156"/>
      <c r="F13" s="156"/>
      <c r="G13" s="292"/>
      <c r="H13" s="293"/>
      <c r="I13" s="300"/>
      <c r="J13" s="308"/>
      <c r="K13" s="308"/>
      <c r="L13" s="308"/>
      <c r="M13" s="308"/>
      <c r="N13" s="308"/>
    </row>
    <row r="14" spans="1:14" x14ac:dyDescent="0.3">
      <c r="A14" s="307"/>
      <c r="B14" s="293"/>
      <c r="C14" s="156"/>
      <c r="D14" s="156"/>
      <c r="E14" s="156"/>
      <c r="F14" s="156"/>
      <c r="G14" s="292"/>
      <c r="H14" s="293"/>
      <c r="I14" s="300"/>
      <c r="J14" s="308"/>
      <c r="K14" s="308"/>
      <c r="L14" s="308"/>
      <c r="M14" s="308"/>
      <c r="N14" s="308"/>
    </row>
    <row r="15" spans="1:14" x14ac:dyDescent="0.3">
      <c r="A15" s="307"/>
      <c r="B15" s="293"/>
      <c r="C15" s="156"/>
      <c r="D15" s="156"/>
      <c r="E15" s="264"/>
      <c r="F15" s="156"/>
      <c r="G15" s="292"/>
      <c r="H15" s="293"/>
      <c r="I15" s="300"/>
      <c r="J15" s="308"/>
      <c r="K15" s="308"/>
      <c r="L15" s="308"/>
      <c r="M15" s="308"/>
      <c r="N15" s="308"/>
    </row>
    <row r="16" spans="1:14" x14ac:dyDescent="0.3">
      <c r="A16" s="307"/>
      <c r="B16" s="293"/>
      <c r="C16" s="156"/>
      <c r="D16" s="156"/>
      <c r="E16" s="156"/>
      <c r="F16" s="156"/>
      <c r="G16" s="292"/>
      <c r="H16" s="293"/>
      <c r="I16" s="300"/>
      <c r="J16" s="308"/>
      <c r="K16" s="308"/>
      <c r="L16" s="308"/>
      <c r="M16" s="308"/>
      <c r="N16" s="308"/>
    </row>
    <row r="17" spans="1:8" x14ac:dyDescent="0.3">
      <c r="A17" s="307"/>
      <c r="B17" s="293"/>
      <c r="C17" s="156"/>
      <c r="D17" s="156"/>
      <c r="E17" s="156"/>
      <c r="F17" s="156"/>
      <c r="G17" s="292"/>
      <c r="H17" s="293"/>
    </row>
    <row r="18" spans="1:8" x14ac:dyDescent="0.3">
      <c r="A18" s="307"/>
      <c r="B18" s="293"/>
      <c r="C18" s="156"/>
      <c r="D18" s="156"/>
      <c r="E18" s="156"/>
      <c r="F18" s="156"/>
      <c r="G18" s="292"/>
      <c r="H18" s="293"/>
    </row>
    <row r="19" spans="1:8" x14ac:dyDescent="0.3">
      <c r="A19" s="307"/>
      <c r="B19" s="293"/>
      <c r="C19" s="156"/>
      <c r="D19" s="156"/>
      <c r="E19" s="156"/>
      <c r="F19" s="156"/>
      <c r="G19" s="292"/>
      <c r="H19" s="293"/>
    </row>
    <row r="20" spans="1:8" x14ac:dyDescent="0.3">
      <c r="A20" s="307"/>
      <c r="B20" s="293"/>
      <c r="C20" s="156"/>
      <c r="D20" s="156"/>
      <c r="E20" s="156"/>
      <c r="F20" s="156"/>
      <c r="G20" s="292"/>
      <c r="H20" s="293"/>
    </row>
    <row r="21" spans="1:8" x14ac:dyDescent="0.3">
      <c r="A21" s="307"/>
      <c r="B21" s="293"/>
      <c r="C21" s="156"/>
      <c r="D21" s="156"/>
      <c r="E21" s="156"/>
      <c r="F21" s="156"/>
      <c r="G21" s="292"/>
      <c r="H21" s="293"/>
    </row>
    <row r="22" spans="1:8" x14ac:dyDescent="0.3">
      <c r="A22" s="307"/>
      <c r="B22" s="293"/>
      <c r="C22" s="156"/>
      <c r="D22" s="156"/>
      <c r="E22" s="156"/>
      <c r="F22" s="156"/>
      <c r="G22" s="292"/>
      <c r="H22" s="293"/>
    </row>
    <row r="23" spans="1:8" x14ac:dyDescent="0.3">
      <c r="A23" s="307"/>
      <c r="B23" s="293"/>
      <c r="C23" s="156"/>
      <c r="D23" s="156"/>
      <c r="E23" s="156"/>
      <c r="F23" s="156"/>
      <c r="G23" s="292"/>
      <c r="H23" s="293"/>
    </row>
    <row r="24" spans="1:8" x14ac:dyDescent="0.3">
      <c r="A24" s="307"/>
      <c r="B24" s="293"/>
      <c r="C24" s="156"/>
      <c r="D24" s="156"/>
      <c r="E24" s="156"/>
      <c r="F24" s="156"/>
      <c r="G24" s="292"/>
      <c r="H24" s="293"/>
    </row>
    <row r="25" spans="1:8" x14ac:dyDescent="0.3">
      <c r="A25" s="307"/>
      <c r="B25" s="293"/>
      <c r="C25" s="156"/>
      <c r="D25" s="156"/>
      <c r="E25" s="156"/>
      <c r="F25" s="156"/>
      <c r="G25" s="292"/>
      <c r="H25" s="293"/>
    </row>
    <row r="26" spans="1:8" x14ac:dyDescent="0.3">
      <c r="A26" s="307"/>
      <c r="B26" s="293"/>
      <c r="C26" s="156"/>
      <c r="D26" s="156"/>
      <c r="E26" s="156"/>
      <c r="F26" s="156"/>
      <c r="G26" s="292"/>
      <c r="H26" s="293"/>
    </row>
    <row r="27" spans="1:8" x14ac:dyDescent="0.3">
      <c r="A27" s="307"/>
      <c r="B27" s="293"/>
      <c r="C27" s="156"/>
      <c r="D27" s="156"/>
      <c r="E27" s="156"/>
      <c r="F27" s="156"/>
      <c r="G27" s="292"/>
      <c r="H27" s="293"/>
    </row>
    <row r="28" spans="1:8" x14ac:dyDescent="0.3">
      <c r="A28" s="307"/>
      <c r="B28" s="293"/>
      <c r="C28" s="156"/>
      <c r="D28" s="156"/>
      <c r="E28" s="156"/>
      <c r="F28" s="156"/>
      <c r="G28" s="292"/>
      <c r="H28" s="293"/>
    </row>
    <row r="29" spans="1:8" x14ac:dyDescent="0.3">
      <c r="A29" s="307"/>
      <c r="B29" s="293"/>
      <c r="C29" s="156"/>
      <c r="D29" s="156"/>
      <c r="E29" s="156"/>
      <c r="F29" s="156"/>
      <c r="G29" s="292"/>
      <c r="H29" s="293"/>
    </row>
    <row r="30" spans="1:8" x14ac:dyDescent="0.3">
      <c r="A30" s="307"/>
      <c r="B30" s="293"/>
      <c r="C30" s="156"/>
      <c r="D30" s="156"/>
      <c r="E30" s="156"/>
      <c r="F30" s="156"/>
      <c r="G30" s="292"/>
      <c r="H30" s="293"/>
    </row>
    <row r="31" spans="1:8" x14ac:dyDescent="0.3">
      <c r="A31" s="307"/>
      <c r="B31" s="293"/>
      <c r="C31" s="156"/>
      <c r="D31" s="156"/>
      <c r="E31" s="156"/>
      <c r="F31" s="156"/>
      <c r="G31" s="292"/>
      <c r="H31" s="293"/>
    </row>
    <row r="32" spans="1:8" x14ac:dyDescent="0.3">
      <c r="A32" s="307"/>
      <c r="B32" s="293"/>
      <c r="C32" s="156"/>
      <c r="D32" s="156"/>
      <c r="E32" s="156"/>
      <c r="F32" s="156"/>
      <c r="G32" s="292"/>
      <c r="H32" s="293"/>
    </row>
    <row r="33" spans="1:8" x14ac:dyDescent="0.3">
      <c r="A33" s="307"/>
      <c r="B33" s="293"/>
      <c r="C33" s="156"/>
      <c r="D33" s="156"/>
      <c r="E33" s="156"/>
      <c r="F33" s="156"/>
      <c r="G33" s="292"/>
      <c r="H33" s="293"/>
    </row>
    <row r="34" spans="1:8" x14ac:dyDescent="0.3">
      <c r="A34" s="307"/>
      <c r="B34" s="293"/>
      <c r="C34" s="156"/>
      <c r="D34" s="156"/>
      <c r="E34" s="156"/>
      <c r="F34" s="156"/>
      <c r="G34" s="292"/>
      <c r="H34" s="293"/>
    </row>
    <row r="35" spans="1:8" x14ac:dyDescent="0.3">
      <c r="A35" s="307"/>
      <c r="B35" s="293"/>
      <c r="C35" s="156"/>
      <c r="D35" s="156"/>
      <c r="E35" s="156"/>
      <c r="F35" s="156"/>
      <c r="G35" s="292"/>
      <c r="H35" s="293"/>
    </row>
    <row r="36" spans="1:8" x14ac:dyDescent="0.3">
      <c r="A36" s="307"/>
      <c r="B36" s="293"/>
      <c r="C36" s="156"/>
      <c r="D36" s="156"/>
      <c r="E36" s="156"/>
      <c r="F36" s="156"/>
      <c r="G36" s="292"/>
      <c r="H36" s="293"/>
    </row>
    <row r="37" spans="1:8" x14ac:dyDescent="0.3">
      <c r="A37" s="307"/>
      <c r="B37" s="293"/>
      <c r="C37" s="156"/>
      <c r="D37" s="156"/>
      <c r="E37" s="156"/>
      <c r="F37" s="156"/>
      <c r="G37" s="292"/>
      <c r="H37" s="293"/>
    </row>
    <row r="38" spans="1:8" x14ac:dyDescent="0.3">
      <c r="A38" s="307"/>
      <c r="B38" s="293"/>
      <c r="C38" s="156"/>
      <c r="D38" s="156"/>
      <c r="E38" s="156"/>
      <c r="F38" s="156"/>
      <c r="G38" s="292"/>
      <c r="H38" s="293"/>
    </row>
    <row r="39" spans="1:8" x14ac:dyDescent="0.3">
      <c r="A39" s="307"/>
      <c r="B39" s="293"/>
      <c r="C39" s="156"/>
      <c r="D39" s="156"/>
      <c r="E39" s="156"/>
      <c r="F39" s="156"/>
      <c r="G39" s="292"/>
      <c r="H39" s="293"/>
    </row>
    <row r="40" spans="1:8" x14ac:dyDescent="0.3">
      <c r="A40" s="307"/>
      <c r="B40" s="293"/>
      <c r="C40" s="156"/>
      <c r="D40" s="156"/>
      <c r="E40" s="156"/>
      <c r="F40" s="156"/>
      <c r="G40" s="292"/>
      <c r="H40" s="293"/>
    </row>
    <row r="41" spans="1:8" x14ac:dyDescent="0.3">
      <c r="A41" s="307"/>
      <c r="B41" s="293"/>
      <c r="C41" s="156"/>
      <c r="D41" s="156"/>
      <c r="E41" s="156"/>
      <c r="F41" s="156"/>
      <c r="G41" s="292"/>
      <c r="H41" s="293"/>
    </row>
    <row r="42" spans="1:8" x14ac:dyDescent="0.3">
      <c r="A42" s="307"/>
      <c r="B42" s="293"/>
      <c r="C42" s="156"/>
      <c r="D42" s="156"/>
      <c r="E42" s="156"/>
      <c r="F42" s="156"/>
      <c r="G42" s="292"/>
      <c r="H42" s="293"/>
    </row>
    <row r="43" spans="1:8" x14ac:dyDescent="0.3">
      <c r="A43" s="307"/>
      <c r="B43" s="293"/>
      <c r="C43" s="156"/>
      <c r="D43" s="156"/>
      <c r="E43" s="156"/>
      <c r="F43" s="156"/>
      <c r="G43" s="292"/>
      <c r="H43" s="293"/>
    </row>
    <row r="44" spans="1:8" x14ac:dyDescent="0.3">
      <c r="A44" s="307"/>
      <c r="B44" s="293"/>
      <c r="C44" s="156"/>
      <c r="D44" s="156"/>
      <c r="E44" s="156"/>
      <c r="F44" s="156"/>
      <c r="G44" s="292"/>
      <c r="H44" s="293"/>
    </row>
    <row r="45" spans="1:8" x14ac:dyDescent="0.3">
      <c r="A45" s="307"/>
      <c r="B45" s="293"/>
      <c r="C45" s="156"/>
      <c r="D45" s="156"/>
      <c r="E45" s="156"/>
      <c r="F45" s="156"/>
      <c r="G45" s="292"/>
      <c r="H45" s="293"/>
    </row>
    <row r="46" spans="1:8" x14ac:dyDescent="0.3">
      <c r="A46" s="307"/>
      <c r="B46" s="293"/>
      <c r="C46" s="156"/>
      <c r="D46" s="156"/>
      <c r="E46" s="156"/>
      <c r="F46" s="156"/>
      <c r="G46" s="292"/>
      <c r="H46" s="293"/>
    </row>
    <row r="47" spans="1:8" x14ac:dyDescent="0.3">
      <c r="A47" s="307"/>
      <c r="B47" s="293"/>
      <c r="C47" s="156"/>
      <c r="D47" s="156"/>
      <c r="E47" s="156"/>
      <c r="F47" s="156"/>
      <c r="G47" s="292"/>
      <c r="H47" s="293"/>
    </row>
    <row r="48" spans="1:8" x14ac:dyDescent="0.3">
      <c r="A48" s="307"/>
      <c r="B48" s="293"/>
      <c r="C48" s="156"/>
      <c r="D48" s="156"/>
      <c r="E48" s="156"/>
      <c r="F48" s="156"/>
      <c r="G48" s="292"/>
      <c r="H48" s="293"/>
    </row>
    <row r="49" spans="1:9" x14ac:dyDescent="0.3">
      <c r="A49" s="307"/>
      <c r="B49" s="293"/>
      <c r="C49" s="156"/>
      <c r="D49" s="156"/>
      <c r="E49" s="156"/>
      <c r="F49" s="156"/>
      <c r="G49" s="292"/>
      <c r="H49" s="293"/>
      <c r="I49" s="300"/>
    </row>
    <row r="50" spans="1:9" x14ac:dyDescent="0.3">
      <c r="A50" s="307"/>
      <c r="B50" s="293"/>
      <c r="C50" s="156"/>
      <c r="D50" s="156"/>
      <c r="E50" s="156"/>
      <c r="F50" s="156"/>
      <c r="G50" s="292"/>
      <c r="H50" s="293"/>
      <c r="I50" s="300"/>
    </row>
    <row r="51" spans="1:9" x14ac:dyDescent="0.3">
      <c r="A51" s="307"/>
      <c r="B51" s="293"/>
      <c r="C51" s="156"/>
      <c r="D51" s="156"/>
      <c r="E51" s="156"/>
      <c r="F51" s="156"/>
      <c r="G51" s="292"/>
      <c r="H51" s="293"/>
      <c r="I51" s="300"/>
    </row>
    <row r="52" spans="1:9" x14ac:dyDescent="0.3">
      <c r="A52" s="307"/>
      <c r="B52" s="293"/>
      <c r="C52" s="156"/>
      <c r="D52" s="156"/>
      <c r="E52" s="156"/>
      <c r="F52" s="156"/>
      <c r="G52" s="292"/>
      <c r="H52" s="293"/>
      <c r="I52" s="300"/>
    </row>
    <row r="53" spans="1:9" x14ac:dyDescent="0.3">
      <c r="A53" s="307"/>
      <c r="B53" s="293"/>
      <c r="C53" s="156"/>
      <c r="D53" s="156"/>
      <c r="E53" s="156"/>
      <c r="F53" s="156"/>
      <c r="G53" s="292"/>
      <c r="H53" s="293"/>
      <c r="I53" s="300"/>
    </row>
    <row r="54" spans="1:9" x14ac:dyDescent="0.3">
      <c r="A54" s="307"/>
      <c r="B54" s="293"/>
      <c r="C54" s="156"/>
      <c r="D54" s="156"/>
      <c r="E54" s="156"/>
      <c r="F54" s="156"/>
      <c r="G54" s="292"/>
      <c r="H54" s="293"/>
      <c r="I54" s="300"/>
    </row>
    <row r="55" spans="1:9" x14ac:dyDescent="0.3">
      <c r="A55" s="307"/>
      <c r="B55" s="293"/>
      <c r="C55" s="156"/>
      <c r="D55" s="156"/>
      <c r="E55" s="156"/>
      <c r="F55" s="156"/>
      <c r="G55" s="292"/>
      <c r="H55" s="293"/>
      <c r="I55" s="300"/>
    </row>
    <row r="56" spans="1:9" x14ac:dyDescent="0.3">
      <c r="A56" s="307"/>
      <c r="B56" s="293"/>
      <c r="C56" s="156"/>
      <c r="D56" s="156"/>
      <c r="E56" s="156"/>
      <c r="F56" s="156"/>
      <c r="G56" s="292"/>
      <c r="H56" s="293"/>
      <c r="I56" s="300"/>
    </row>
    <row r="57" spans="1:9" x14ac:dyDescent="0.3">
      <c r="A57" s="307"/>
      <c r="B57" s="293"/>
      <c r="C57" s="156"/>
      <c r="D57" s="156"/>
      <c r="E57" s="156"/>
      <c r="F57" s="156"/>
      <c r="G57" s="292"/>
      <c r="H57" s="293"/>
      <c r="I57" s="300"/>
    </row>
    <row r="58" spans="1:9" x14ac:dyDescent="0.3">
      <c r="A58" s="307"/>
      <c r="B58" s="293"/>
      <c r="C58" s="156"/>
      <c r="D58" s="156"/>
      <c r="E58" s="156"/>
      <c r="F58" s="156"/>
      <c r="G58" s="292"/>
      <c r="H58" s="293"/>
      <c r="I58" s="300"/>
    </row>
    <row r="59" spans="1:9" x14ac:dyDescent="0.3">
      <c r="A59" s="307"/>
      <c r="B59" s="293"/>
      <c r="C59" s="156"/>
      <c r="D59" s="156"/>
      <c r="E59" s="156"/>
      <c r="F59" s="156"/>
      <c r="G59" s="292"/>
      <c r="H59" s="293"/>
      <c r="I59" s="300"/>
    </row>
    <row r="60" spans="1:9" x14ac:dyDescent="0.3">
      <c r="A60" s="307"/>
      <c r="B60" s="293"/>
      <c r="C60" s="156"/>
      <c r="D60" s="156"/>
      <c r="E60" s="156"/>
      <c r="F60" s="156"/>
      <c r="G60" s="292"/>
      <c r="H60" s="293"/>
      <c r="I60" s="300"/>
    </row>
    <row r="61" spans="1:9" x14ac:dyDescent="0.3">
      <c r="A61" s="307"/>
      <c r="B61" s="293"/>
      <c r="C61" s="156"/>
      <c r="D61" s="156"/>
      <c r="E61" s="156"/>
      <c r="F61" s="156"/>
      <c r="G61" s="292"/>
      <c r="H61" s="293"/>
      <c r="I61" s="300"/>
    </row>
    <row r="62" spans="1:9" x14ac:dyDescent="0.3">
      <c r="A62" s="307"/>
      <c r="B62" s="293"/>
      <c r="C62" s="156"/>
      <c r="D62" s="156"/>
      <c r="E62" s="156"/>
      <c r="F62" s="156"/>
      <c r="G62" s="292"/>
      <c r="H62" s="293"/>
      <c r="I62" s="300"/>
    </row>
    <row r="63" spans="1:9" x14ac:dyDescent="0.3">
      <c r="A63" s="307"/>
      <c r="B63" s="293"/>
      <c r="C63" s="156"/>
      <c r="D63" s="156"/>
      <c r="E63" s="156"/>
      <c r="F63" s="156"/>
      <c r="G63" s="292"/>
      <c r="H63" s="293"/>
      <c r="I63" s="302"/>
    </row>
    <row r="64" spans="1:9" x14ac:dyDescent="0.3">
      <c r="A64" s="307"/>
      <c r="B64" s="293"/>
      <c r="C64" s="156"/>
      <c r="D64" s="156"/>
      <c r="E64" s="156"/>
      <c r="F64" s="156"/>
      <c r="G64" s="292"/>
      <c r="H64" s="293"/>
      <c r="I64" s="300"/>
    </row>
    <row r="65" spans="1:8" x14ac:dyDescent="0.3">
      <c r="A65" s="307"/>
      <c r="B65" s="293"/>
      <c r="C65" s="156"/>
      <c r="D65" s="156"/>
      <c r="E65" s="156"/>
      <c r="F65" s="156"/>
      <c r="G65" s="292"/>
      <c r="H65" s="293"/>
    </row>
    <row r="66" spans="1:8" x14ac:dyDescent="0.3">
      <c r="A66" s="307"/>
      <c r="B66" s="293"/>
      <c r="C66" s="156"/>
      <c r="D66" s="156"/>
      <c r="E66" s="156"/>
      <c r="F66" s="156"/>
      <c r="G66" s="292"/>
      <c r="H66" s="293"/>
    </row>
    <row r="67" spans="1:8" x14ac:dyDescent="0.3">
      <c r="A67" s="307"/>
      <c r="B67" s="293"/>
      <c r="C67" s="156"/>
      <c r="D67" s="156"/>
      <c r="E67" s="156"/>
      <c r="F67" s="156"/>
      <c r="G67" s="292"/>
      <c r="H67" s="293"/>
    </row>
    <row r="68" spans="1:8" x14ac:dyDescent="0.3">
      <c r="A68" s="307"/>
      <c r="B68" s="293"/>
      <c r="C68" s="156"/>
      <c r="D68" s="156"/>
      <c r="E68" s="156"/>
      <c r="F68" s="156"/>
      <c r="G68" s="292"/>
      <c r="H68" s="293"/>
    </row>
    <row r="69" spans="1:8" x14ac:dyDescent="0.3">
      <c r="A69" s="307"/>
      <c r="B69" s="293"/>
      <c r="C69" s="156"/>
      <c r="D69" s="156"/>
      <c r="E69" s="156"/>
      <c r="F69" s="156"/>
      <c r="G69" s="292"/>
      <c r="H69" s="293"/>
    </row>
    <row r="70" spans="1:8" x14ac:dyDescent="0.3">
      <c r="A70" s="307"/>
      <c r="B70" s="293"/>
      <c r="C70" s="156"/>
      <c r="D70" s="156"/>
      <c r="E70" s="156"/>
      <c r="F70" s="156"/>
      <c r="G70" s="292"/>
      <c r="H70" s="293"/>
    </row>
    <row r="71" spans="1:8" x14ac:dyDescent="0.3">
      <c r="A71" s="307"/>
      <c r="B71" s="293"/>
      <c r="C71" s="156"/>
      <c r="D71" s="156"/>
      <c r="E71" s="156"/>
      <c r="F71" s="156"/>
      <c r="G71" s="292"/>
      <c r="H71" s="293"/>
    </row>
    <row r="72" spans="1:8" x14ac:dyDescent="0.3">
      <c r="A72" s="307"/>
      <c r="B72" s="293"/>
      <c r="C72" s="156"/>
      <c r="D72" s="156"/>
      <c r="E72" s="156"/>
      <c r="F72" s="156"/>
      <c r="G72" s="292"/>
      <c r="H72" s="293"/>
    </row>
    <row r="73" spans="1:8" x14ac:dyDescent="0.3">
      <c r="A73" s="307"/>
      <c r="B73" s="293"/>
      <c r="C73" s="156"/>
      <c r="D73" s="156"/>
      <c r="E73" s="156"/>
      <c r="F73" s="156"/>
      <c r="G73" s="292"/>
      <c r="H73" s="293"/>
    </row>
    <row r="74" spans="1:8" x14ac:dyDescent="0.3">
      <c r="A74" s="307"/>
      <c r="B74" s="293"/>
      <c r="C74" s="156"/>
      <c r="D74" s="156"/>
      <c r="E74" s="156"/>
      <c r="F74" s="156"/>
      <c r="G74" s="292"/>
      <c r="H74" s="293"/>
    </row>
    <row r="75" spans="1:8" x14ac:dyDescent="0.3">
      <c r="A75" s="307"/>
      <c r="B75" s="293"/>
      <c r="C75" s="156"/>
      <c r="D75" s="156"/>
      <c r="E75" s="156"/>
      <c r="F75" s="156"/>
      <c r="G75" s="292"/>
      <c r="H75" s="293"/>
    </row>
    <row r="76" spans="1:8" x14ac:dyDescent="0.3">
      <c r="A76" s="307"/>
      <c r="B76" s="293"/>
      <c r="C76" s="156"/>
      <c r="D76" s="156"/>
      <c r="E76" s="156"/>
      <c r="F76" s="156"/>
      <c r="G76" s="292"/>
      <c r="H76" s="293"/>
    </row>
    <row r="77" spans="1:8" x14ac:dyDescent="0.3">
      <c r="A77" s="307"/>
      <c r="B77" s="293"/>
      <c r="C77" s="156"/>
      <c r="D77" s="156"/>
      <c r="E77" s="156"/>
      <c r="F77" s="156"/>
      <c r="G77" s="292"/>
      <c r="H77" s="293"/>
    </row>
    <row r="78" spans="1:8" x14ac:dyDescent="0.3">
      <c r="A78" s="307"/>
      <c r="B78" s="293"/>
      <c r="C78" s="156"/>
      <c r="D78" s="156"/>
      <c r="E78" s="156"/>
      <c r="F78" s="156"/>
      <c r="G78" s="292"/>
      <c r="H78" s="293"/>
    </row>
    <row r="79" spans="1:8" x14ac:dyDescent="0.3">
      <c r="A79" s="307"/>
      <c r="B79" s="293"/>
      <c r="C79" s="156"/>
      <c r="D79" s="156"/>
      <c r="E79" s="156"/>
      <c r="F79" s="156"/>
      <c r="G79" s="292"/>
      <c r="H79" s="293"/>
    </row>
    <row r="80" spans="1:8" x14ac:dyDescent="0.3">
      <c r="A80" s="307"/>
      <c r="B80" s="293"/>
      <c r="C80" s="156"/>
      <c r="D80" s="156"/>
      <c r="E80" s="156"/>
      <c r="F80" s="156"/>
      <c r="G80" s="292"/>
      <c r="H80" s="293"/>
    </row>
    <row r="81" spans="1:8" x14ac:dyDescent="0.3">
      <c r="A81" s="307"/>
      <c r="B81" s="293"/>
      <c r="C81" s="156"/>
      <c r="D81" s="156"/>
      <c r="E81" s="156"/>
      <c r="F81" s="156"/>
      <c r="G81" s="292"/>
      <c r="H81" s="293"/>
    </row>
    <row r="82" spans="1:8" x14ac:dyDescent="0.3">
      <c r="A82" s="307"/>
      <c r="B82" s="293"/>
      <c r="C82" s="156"/>
      <c r="D82" s="156"/>
      <c r="E82" s="156"/>
      <c r="F82" s="156"/>
      <c r="G82" s="292"/>
      <c r="H82" s="293"/>
    </row>
    <row r="83" spans="1:8" x14ac:dyDescent="0.3">
      <c r="A83" s="307"/>
      <c r="B83" s="293"/>
      <c r="C83" s="156"/>
      <c r="D83" s="156"/>
      <c r="E83" s="156"/>
      <c r="F83" s="156"/>
      <c r="G83" s="292"/>
      <c r="H83" s="293"/>
    </row>
    <row r="84" spans="1:8" x14ac:dyDescent="0.3">
      <c r="A84" s="307"/>
      <c r="B84" s="293"/>
      <c r="C84" s="156"/>
      <c r="D84" s="156"/>
      <c r="E84" s="156"/>
      <c r="F84" s="156"/>
      <c r="G84" s="292"/>
      <c r="H84" s="293"/>
    </row>
    <row r="85" spans="1:8" x14ac:dyDescent="0.3">
      <c r="A85" s="307"/>
      <c r="B85" s="293"/>
      <c r="C85" s="156"/>
      <c r="D85" s="156"/>
      <c r="E85" s="156"/>
      <c r="F85" s="156"/>
      <c r="G85" s="292"/>
      <c r="H85" s="293"/>
    </row>
    <row r="86" spans="1:8" x14ac:dyDescent="0.3">
      <c r="A86" s="307"/>
      <c r="B86" s="293"/>
      <c r="C86" s="156"/>
      <c r="D86" s="156"/>
      <c r="E86" s="156"/>
      <c r="F86" s="156"/>
      <c r="G86" s="292"/>
      <c r="H86" s="293"/>
    </row>
    <row r="87" spans="1:8" x14ac:dyDescent="0.3">
      <c r="A87" s="307"/>
      <c r="B87" s="293"/>
      <c r="C87" s="156"/>
      <c r="D87" s="156"/>
      <c r="E87" s="156"/>
      <c r="F87" s="156"/>
      <c r="G87" s="292"/>
      <c r="H87" s="293"/>
    </row>
    <row r="88" spans="1:8" x14ac:dyDescent="0.3">
      <c r="A88" s="307"/>
      <c r="B88" s="293"/>
      <c r="C88" s="156"/>
      <c r="D88" s="156"/>
      <c r="E88" s="156"/>
      <c r="F88" s="156"/>
      <c r="G88" s="292"/>
      <c r="H88" s="293"/>
    </row>
    <row r="89" spans="1:8" x14ac:dyDescent="0.3">
      <c r="A89" s="307"/>
      <c r="B89" s="293"/>
      <c r="C89" s="156"/>
      <c r="D89" s="156"/>
      <c r="E89" s="156"/>
      <c r="F89" s="156"/>
      <c r="G89" s="292"/>
      <c r="H89" s="293"/>
    </row>
    <row r="90" spans="1:8" x14ac:dyDescent="0.3">
      <c r="A90" s="307"/>
      <c r="B90" s="293"/>
      <c r="C90" s="156"/>
      <c r="D90" s="156"/>
      <c r="E90" s="156"/>
      <c r="F90" s="156"/>
      <c r="G90" s="292"/>
      <c r="H90" s="293"/>
    </row>
    <row r="91" spans="1:8" x14ac:dyDescent="0.3">
      <c r="A91" s="307"/>
      <c r="B91" s="293"/>
      <c r="C91" s="156"/>
      <c r="D91" s="156"/>
      <c r="E91" s="156"/>
      <c r="F91" s="156"/>
      <c r="G91" s="292"/>
      <c r="H91" s="293"/>
    </row>
    <row r="92" spans="1:8" x14ac:dyDescent="0.3">
      <c r="A92" s="307"/>
      <c r="B92" s="293"/>
      <c r="C92" s="156"/>
      <c r="D92" s="156"/>
      <c r="E92" s="156"/>
      <c r="F92" s="156"/>
      <c r="G92" s="292"/>
      <c r="H92" s="293"/>
    </row>
    <row r="93" spans="1:8" x14ac:dyDescent="0.3">
      <c r="A93" s="307"/>
      <c r="B93" s="293"/>
      <c r="C93" s="156"/>
      <c r="D93" s="156"/>
      <c r="E93" s="156"/>
      <c r="F93" s="156"/>
      <c r="G93" s="292"/>
      <c r="H93" s="293"/>
    </row>
    <row r="94" spans="1:8" x14ac:dyDescent="0.3">
      <c r="A94" s="307"/>
      <c r="B94" s="293"/>
      <c r="C94" s="156"/>
      <c r="D94" s="156"/>
      <c r="E94" s="156"/>
      <c r="F94" s="156"/>
      <c r="G94" s="292"/>
      <c r="H94" s="293"/>
    </row>
    <row r="95" spans="1:8" x14ac:dyDescent="0.3">
      <c r="A95" s="307"/>
      <c r="B95" s="293"/>
      <c r="C95" s="156"/>
      <c r="D95" s="156"/>
      <c r="E95" s="156"/>
      <c r="F95" s="156"/>
      <c r="G95" s="292"/>
      <c r="H95" s="293"/>
    </row>
    <row r="96" spans="1:8" x14ac:dyDescent="0.3">
      <c r="A96" s="307"/>
      <c r="B96" s="293"/>
      <c r="C96" s="156"/>
      <c r="D96" s="156"/>
      <c r="E96" s="156"/>
      <c r="F96" s="156"/>
      <c r="G96" s="292"/>
      <c r="H96" s="293"/>
    </row>
    <row r="97" spans="1:8" x14ac:dyDescent="0.3">
      <c r="A97" s="307"/>
      <c r="B97" s="293"/>
      <c r="C97" s="156"/>
      <c r="D97" s="156"/>
      <c r="E97" s="156"/>
      <c r="F97" s="156"/>
      <c r="G97" s="292"/>
      <c r="H97" s="293"/>
    </row>
    <row r="98" spans="1:8" x14ac:dyDescent="0.3">
      <c r="A98" s="307"/>
      <c r="B98" s="293"/>
      <c r="C98" s="156"/>
      <c r="D98" s="156"/>
      <c r="E98" s="156"/>
      <c r="F98" s="156"/>
      <c r="G98" s="292"/>
      <c r="H98" s="293"/>
    </row>
    <row r="99" spans="1:8" x14ac:dyDescent="0.3">
      <c r="A99" s="307"/>
      <c r="B99" s="293"/>
      <c r="C99" s="156"/>
      <c r="D99" s="156"/>
      <c r="E99" s="156"/>
      <c r="F99" s="156"/>
      <c r="G99" s="292"/>
      <c r="H99" s="293"/>
    </row>
    <row r="100" spans="1:8" x14ac:dyDescent="0.3">
      <c r="A100" s="307"/>
      <c r="B100" s="293"/>
      <c r="C100" s="156"/>
      <c r="D100" s="156"/>
      <c r="E100" s="156"/>
      <c r="F100" s="156"/>
      <c r="G100" s="292"/>
      <c r="H100" s="293"/>
    </row>
    <row r="101" spans="1:8" x14ac:dyDescent="0.3">
      <c r="A101" s="307"/>
      <c r="B101" s="293"/>
      <c r="C101" s="156"/>
      <c r="D101" s="156"/>
      <c r="E101" s="156"/>
      <c r="F101" s="156"/>
      <c r="G101" s="292"/>
      <c r="H101" s="293"/>
    </row>
    <row r="102" spans="1:8" x14ac:dyDescent="0.3">
      <c r="A102" s="307"/>
      <c r="B102" s="293"/>
      <c r="C102" s="156"/>
      <c r="D102" s="156"/>
      <c r="E102" s="156"/>
      <c r="F102" s="156"/>
      <c r="G102" s="292"/>
      <c r="H102" s="293"/>
    </row>
    <row r="103" spans="1:8" x14ac:dyDescent="0.3">
      <c r="A103" s="307"/>
      <c r="B103" s="293"/>
      <c r="C103" s="156"/>
      <c r="D103" s="156"/>
      <c r="E103" s="156"/>
      <c r="F103" s="156"/>
      <c r="G103" s="292"/>
      <c r="H103" s="293"/>
    </row>
    <row r="104" spans="1:8" x14ac:dyDescent="0.3">
      <c r="A104" s="307"/>
      <c r="B104" s="293"/>
      <c r="C104" s="156"/>
      <c r="D104" s="156"/>
      <c r="E104" s="156"/>
      <c r="F104" s="156"/>
      <c r="G104" s="292"/>
      <c r="H104" s="293"/>
    </row>
    <row r="105" spans="1:8" x14ac:dyDescent="0.3">
      <c r="A105" s="307"/>
      <c r="B105" s="293"/>
      <c r="C105" s="156"/>
      <c r="D105" s="156"/>
      <c r="E105" s="156"/>
      <c r="F105" s="156"/>
      <c r="G105" s="292"/>
      <c r="H105" s="300"/>
    </row>
    <row r="106" spans="1:8" x14ac:dyDescent="0.3">
      <c r="A106" s="307"/>
      <c r="B106" s="293"/>
      <c r="C106" s="156"/>
      <c r="D106" s="156"/>
      <c r="E106" s="156"/>
      <c r="F106" s="156"/>
      <c r="G106" s="292"/>
      <c r="H106" s="300"/>
    </row>
    <row r="107" spans="1:8" x14ac:dyDescent="0.3">
      <c r="A107" s="307"/>
      <c r="B107" s="293"/>
      <c r="C107" s="156"/>
      <c r="D107" s="156"/>
      <c r="E107" s="156"/>
      <c r="F107" s="156"/>
      <c r="G107" s="292"/>
      <c r="H107" s="300"/>
    </row>
    <row r="108" spans="1:8" x14ac:dyDescent="0.3">
      <c r="A108" s="307"/>
      <c r="B108" s="293"/>
      <c r="C108" s="156"/>
      <c r="D108" s="156"/>
      <c r="E108" s="156"/>
      <c r="F108" s="156"/>
      <c r="G108" s="292"/>
      <c r="H108" s="300"/>
    </row>
    <row r="109" spans="1:8" x14ac:dyDescent="0.3">
      <c r="A109" s="307"/>
      <c r="B109" s="293"/>
      <c r="C109" s="156"/>
      <c r="D109" s="156"/>
      <c r="E109" s="156"/>
      <c r="F109" s="156"/>
      <c r="G109" s="292"/>
      <c r="H109" s="300"/>
    </row>
    <row r="110" spans="1:8" x14ac:dyDescent="0.3">
      <c r="A110" s="307"/>
      <c r="B110" s="293"/>
      <c r="C110" s="156"/>
      <c r="D110" s="156"/>
      <c r="E110" s="156"/>
      <c r="F110" s="156"/>
      <c r="G110" s="292"/>
      <c r="H110" s="300"/>
    </row>
    <row r="111" spans="1:8" x14ac:dyDescent="0.3">
      <c r="A111" s="307"/>
      <c r="B111" s="293"/>
      <c r="C111" s="156"/>
      <c r="D111" s="156"/>
      <c r="E111" s="156"/>
      <c r="F111" s="156"/>
      <c r="G111" s="292"/>
      <c r="H111" s="300"/>
    </row>
    <row r="112" spans="1:8" x14ac:dyDescent="0.3">
      <c r="A112" s="307"/>
      <c r="B112" s="293"/>
      <c r="C112" s="156"/>
      <c r="D112" s="156"/>
      <c r="E112" s="156"/>
      <c r="F112" s="156"/>
      <c r="G112" s="292"/>
      <c r="H112" s="300"/>
    </row>
    <row r="113" spans="1:6" x14ac:dyDescent="0.3">
      <c r="A113" s="307"/>
      <c r="B113" s="293"/>
      <c r="C113" s="156"/>
      <c r="D113" s="156"/>
      <c r="E113" s="156"/>
      <c r="F113" s="156"/>
    </row>
    <row r="114" spans="1:6" x14ac:dyDescent="0.3">
      <c r="A114" s="307"/>
      <c r="B114" s="293"/>
      <c r="C114" s="156"/>
      <c r="D114" s="156"/>
      <c r="E114" s="156"/>
      <c r="F114" s="156"/>
    </row>
    <row r="115" spans="1:6" x14ac:dyDescent="0.3">
      <c r="A115" s="307"/>
      <c r="B115" s="293"/>
      <c r="C115" s="156"/>
      <c r="D115" s="156"/>
      <c r="E115" s="156"/>
      <c r="F115" s="156"/>
    </row>
    <row r="116" spans="1:6" x14ac:dyDescent="0.3">
      <c r="A116" s="307"/>
      <c r="B116" s="293"/>
      <c r="C116" s="156"/>
      <c r="D116" s="156"/>
      <c r="E116" s="156"/>
      <c r="F116" s="156"/>
    </row>
    <row r="117" spans="1:6" x14ac:dyDescent="0.3">
      <c r="A117" s="307"/>
      <c r="B117" s="293"/>
      <c r="C117" s="156"/>
      <c r="D117" s="156"/>
      <c r="E117" s="156"/>
      <c r="F117" s="156"/>
    </row>
    <row r="118" spans="1:6" x14ac:dyDescent="0.3">
      <c r="A118" s="307"/>
      <c r="B118" s="293"/>
      <c r="C118" s="156"/>
      <c r="D118" s="156"/>
      <c r="E118" s="156"/>
      <c r="F118" s="156"/>
    </row>
    <row r="119" spans="1:6" x14ac:dyDescent="0.3">
      <c r="A119" s="307"/>
      <c r="B119" s="293"/>
      <c r="C119" s="156"/>
      <c r="D119" s="156"/>
      <c r="E119" s="156"/>
      <c r="F119" s="156"/>
    </row>
    <row r="120" spans="1:6" x14ac:dyDescent="0.3">
      <c r="A120" s="307"/>
      <c r="B120" s="293"/>
      <c r="C120" s="156"/>
      <c r="D120" s="156"/>
      <c r="E120" s="156"/>
      <c r="F120" s="156"/>
    </row>
    <row r="121" spans="1:6" x14ac:dyDescent="0.3">
      <c r="A121" s="307"/>
      <c r="B121" s="293"/>
      <c r="C121" s="156"/>
      <c r="D121" s="156"/>
      <c r="E121" s="156"/>
      <c r="F121" s="156"/>
    </row>
    <row r="122" spans="1:6" x14ac:dyDescent="0.3">
      <c r="A122" s="307"/>
      <c r="B122" s="293"/>
      <c r="C122" s="156"/>
      <c r="D122" s="156"/>
      <c r="E122" s="156"/>
      <c r="F122" s="156"/>
    </row>
    <row r="123" spans="1:6" x14ac:dyDescent="0.3">
      <c r="A123" s="307"/>
      <c r="B123" s="293"/>
      <c r="C123" s="156"/>
      <c r="D123" s="156"/>
      <c r="E123" s="156"/>
      <c r="F123" s="156"/>
    </row>
    <row r="124" spans="1:6" x14ac:dyDescent="0.3">
      <c r="A124" s="307"/>
      <c r="B124" s="293"/>
      <c r="C124" s="156"/>
      <c r="D124" s="156"/>
      <c r="E124" s="156"/>
      <c r="F124" s="156"/>
    </row>
    <row r="125" spans="1:6" x14ac:dyDescent="0.3">
      <c r="A125" s="307"/>
      <c r="B125" s="293"/>
      <c r="C125" s="156"/>
      <c r="D125" s="156"/>
      <c r="E125" s="156"/>
      <c r="F125" s="156"/>
    </row>
    <row r="126" spans="1:6" x14ac:dyDescent="0.3">
      <c r="A126" s="307"/>
      <c r="B126" s="293"/>
      <c r="C126" s="156"/>
      <c r="D126" s="156"/>
      <c r="E126" s="156"/>
      <c r="F126" s="156"/>
    </row>
    <row r="127" spans="1:6" x14ac:dyDescent="0.3">
      <c r="A127" s="307"/>
      <c r="B127" s="293"/>
      <c r="C127" s="156"/>
      <c r="D127" s="156"/>
      <c r="E127" s="156"/>
      <c r="F127" s="156"/>
    </row>
    <row r="128" spans="1:6" x14ac:dyDescent="0.3">
      <c r="A128" s="307"/>
      <c r="B128" s="293"/>
      <c r="C128" s="156"/>
      <c r="D128" s="156"/>
      <c r="E128" s="156"/>
      <c r="F128" s="156"/>
    </row>
    <row r="129" spans="1:6" x14ac:dyDescent="0.3">
      <c r="A129" s="307"/>
      <c r="B129" s="293"/>
      <c r="C129" s="156"/>
      <c r="D129" s="156"/>
      <c r="E129" s="156"/>
      <c r="F129" s="156"/>
    </row>
    <row r="130" spans="1:6" x14ac:dyDescent="0.3">
      <c r="A130" s="307"/>
      <c r="B130" s="293"/>
      <c r="C130" s="156"/>
      <c r="D130" s="156"/>
      <c r="E130" s="156"/>
      <c r="F130" s="156"/>
    </row>
    <row r="131" spans="1:6" x14ac:dyDescent="0.3">
      <c r="A131" s="307"/>
      <c r="B131" s="293"/>
      <c r="C131" s="156"/>
      <c r="D131" s="156"/>
      <c r="E131" s="156"/>
      <c r="F131" s="156"/>
    </row>
    <row r="132" spans="1:6" x14ac:dyDescent="0.3">
      <c r="A132" s="307"/>
      <c r="B132" s="293"/>
      <c r="C132" s="156"/>
      <c r="D132" s="156"/>
      <c r="E132" s="156"/>
      <c r="F132" s="156"/>
    </row>
    <row r="133" spans="1:6" x14ac:dyDescent="0.3">
      <c r="A133" s="307"/>
      <c r="B133" s="293"/>
      <c r="C133" s="156"/>
      <c r="D133" s="156"/>
      <c r="E133" s="156"/>
      <c r="F133" s="156"/>
    </row>
    <row r="134" spans="1:6" x14ac:dyDescent="0.3">
      <c r="A134" s="307"/>
      <c r="B134" s="293"/>
      <c r="C134" s="156"/>
      <c r="D134" s="156"/>
      <c r="E134" s="156"/>
      <c r="F134" s="156"/>
    </row>
    <row r="135" spans="1:6" x14ac:dyDescent="0.3">
      <c r="A135" s="307"/>
      <c r="B135" s="293"/>
      <c r="C135" s="156"/>
      <c r="D135" s="156"/>
      <c r="E135" s="156"/>
      <c r="F135" s="156"/>
    </row>
    <row r="136" spans="1:6" x14ac:dyDescent="0.3">
      <c r="A136" s="307"/>
      <c r="B136" s="293"/>
      <c r="C136" s="156"/>
      <c r="D136" s="156"/>
      <c r="E136" s="156"/>
      <c r="F136" s="156"/>
    </row>
    <row r="137" spans="1:6" x14ac:dyDescent="0.3">
      <c r="A137" s="307"/>
      <c r="B137" s="293"/>
      <c r="C137" s="156"/>
      <c r="D137" s="156"/>
      <c r="E137" s="156"/>
      <c r="F137" s="156"/>
    </row>
    <row r="138" spans="1:6" x14ac:dyDescent="0.3">
      <c r="A138" s="307"/>
      <c r="B138" s="293"/>
      <c r="C138" s="156"/>
      <c r="D138" s="156"/>
      <c r="E138" s="156"/>
      <c r="F138" s="156"/>
    </row>
    <row r="139" spans="1:6" x14ac:dyDescent="0.3">
      <c r="A139" s="307"/>
      <c r="B139" s="293"/>
      <c r="C139" s="156"/>
      <c r="D139" s="156"/>
      <c r="E139" s="156"/>
      <c r="F139" s="156"/>
    </row>
    <row r="140" spans="1:6" x14ac:dyDescent="0.3">
      <c r="A140" s="307"/>
      <c r="B140" s="293"/>
      <c r="C140" s="156"/>
      <c r="D140" s="156"/>
      <c r="E140" s="156"/>
      <c r="F140" s="156"/>
    </row>
    <row r="141" spans="1:6" x14ac:dyDescent="0.3">
      <c r="A141" s="307"/>
      <c r="B141" s="293"/>
      <c r="C141" s="156"/>
      <c r="D141" s="156"/>
      <c r="E141" s="156"/>
      <c r="F141" s="156"/>
    </row>
    <row r="142" spans="1:6" x14ac:dyDescent="0.3">
      <c r="A142" s="307"/>
      <c r="B142" s="293"/>
      <c r="C142" s="156"/>
      <c r="D142" s="156"/>
      <c r="E142" s="156"/>
      <c r="F142" s="156"/>
    </row>
    <row r="143" spans="1:6" x14ac:dyDescent="0.3">
      <c r="A143" s="307"/>
      <c r="B143" s="293"/>
      <c r="C143" s="156"/>
      <c r="D143" s="156"/>
      <c r="E143" s="156"/>
      <c r="F143" s="156"/>
    </row>
    <row r="144" spans="1:6" x14ac:dyDescent="0.3">
      <c r="A144" s="307"/>
      <c r="B144" s="293"/>
      <c r="C144" s="156"/>
      <c r="D144" s="156"/>
      <c r="E144" s="156"/>
      <c r="F144" s="156"/>
    </row>
    <row r="145" spans="1:6" x14ac:dyDescent="0.3">
      <c r="A145" s="307"/>
      <c r="B145" s="293"/>
      <c r="C145" s="156"/>
      <c r="D145" s="156"/>
      <c r="E145" s="156"/>
      <c r="F145" s="156"/>
    </row>
    <row r="146" spans="1:6" x14ac:dyDescent="0.3">
      <c r="A146" s="307"/>
      <c r="B146" s="293"/>
      <c r="C146" s="156"/>
      <c r="D146" s="156"/>
      <c r="E146" s="156"/>
      <c r="F146" s="156"/>
    </row>
    <row r="147" spans="1:6" x14ac:dyDescent="0.3">
      <c r="A147" s="307"/>
      <c r="B147" s="293"/>
      <c r="C147" s="156"/>
      <c r="D147" s="156"/>
      <c r="E147" s="156"/>
      <c r="F147" s="156"/>
    </row>
    <row r="148" spans="1:6" x14ac:dyDescent="0.3">
      <c r="A148" s="307"/>
      <c r="B148" s="293"/>
      <c r="C148" s="156"/>
      <c r="D148" s="156"/>
      <c r="E148" s="156"/>
      <c r="F148" s="156"/>
    </row>
    <row r="149" spans="1:6" x14ac:dyDescent="0.3">
      <c r="A149" s="307"/>
      <c r="B149" s="293"/>
      <c r="C149" s="156"/>
      <c r="D149" s="156"/>
      <c r="E149" s="156"/>
      <c r="F149" s="156"/>
    </row>
    <row r="150" spans="1:6" x14ac:dyDescent="0.3">
      <c r="A150" s="307"/>
      <c r="B150" s="293"/>
      <c r="C150" s="156"/>
      <c r="D150" s="156"/>
      <c r="E150" s="156"/>
      <c r="F150" s="156"/>
    </row>
    <row r="151" spans="1:6" x14ac:dyDescent="0.3">
      <c r="A151" s="307"/>
      <c r="B151" s="293"/>
      <c r="C151" s="156"/>
      <c r="D151" s="156"/>
      <c r="E151" s="156"/>
      <c r="F151" s="156"/>
    </row>
    <row r="152" spans="1:6" x14ac:dyDescent="0.3">
      <c r="A152" s="307"/>
      <c r="B152" s="293"/>
      <c r="C152" s="156"/>
      <c r="D152" s="156"/>
      <c r="E152" s="156"/>
      <c r="F152" s="156"/>
    </row>
    <row r="153" spans="1:6" x14ac:dyDescent="0.3">
      <c r="A153" s="307"/>
      <c r="B153" s="293"/>
      <c r="C153" s="156"/>
      <c r="D153" s="156"/>
      <c r="E153" s="156"/>
      <c r="F153" s="156"/>
    </row>
    <row r="154" spans="1:6" x14ac:dyDescent="0.3">
      <c r="A154" s="307"/>
      <c r="B154" s="293"/>
      <c r="C154" s="156"/>
      <c r="D154" s="156"/>
      <c r="E154" s="156"/>
      <c r="F154" s="156"/>
    </row>
    <row r="155" spans="1:6" x14ac:dyDescent="0.3">
      <c r="A155" s="307"/>
      <c r="B155" s="293"/>
      <c r="C155" s="156"/>
      <c r="D155" s="156"/>
      <c r="E155" s="156"/>
      <c r="F155" s="156"/>
    </row>
    <row r="156" spans="1:6" x14ac:dyDescent="0.3">
      <c r="A156" s="307"/>
      <c r="B156" s="293"/>
      <c r="C156" s="156"/>
      <c r="D156" s="156"/>
      <c r="E156" s="156"/>
      <c r="F156" s="156"/>
    </row>
    <row r="157" spans="1:6" x14ac:dyDescent="0.3">
      <c r="A157" s="307"/>
      <c r="B157" s="293"/>
      <c r="C157" s="156"/>
      <c r="D157" s="156"/>
      <c r="E157" s="156"/>
      <c r="F157" s="156"/>
    </row>
    <row r="158" spans="1:6" x14ac:dyDescent="0.3">
      <c r="A158" s="307"/>
      <c r="B158" s="293"/>
      <c r="C158" s="156"/>
      <c r="D158" s="156"/>
      <c r="E158" s="156"/>
      <c r="F158" s="156"/>
    </row>
    <row r="159" spans="1:6" x14ac:dyDescent="0.3">
      <c r="A159" s="307"/>
      <c r="B159" s="293"/>
      <c r="C159" s="156"/>
      <c r="D159" s="156"/>
      <c r="E159" s="156"/>
      <c r="F159" s="156"/>
    </row>
    <row r="160" spans="1:6" x14ac:dyDescent="0.3">
      <c r="A160" s="307"/>
      <c r="B160" s="293"/>
      <c r="C160" s="156"/>
      <c r="D160" s="156"/>
      <c r="E160" s="156"/>
      <c r="F160" s="156"/>
    </row>
    <row r="161" spans="1:6" x14ac:dyDescent="0.3">
      <c r="A161" s="307"/>
      <c r="B161" s="293"/>
      <c r="C161" s="156"/>
      <c r="D161" s="156"/>
      <c r="E161" s="156"/>
      <c r="F161" s="156"/>
    </row>
    <row r="162" spans="1:6" x14ac:dyDescent="0.3">
      <c r="A162" s="307"/>
      <c r="B162" s="293"/>
      <c r="C162" s="156"/>
      <c r="D162" s="156"/>
      <c r="E162" s="156"/>
      <c r="F162" s="156"/>
    </row>
    <row r="163" spans="1:6" x14ac:dyDescent="0.3">
      <c r="A163" s="307"/>
      <c r="B163" s="293"/>
      <c r="C163" s="156"/>
      <c r="D163" s="156"/>
      <c r="E163" s="156"/>
      <c r="F163" s="156"/>
    </row>
    <row r="164" spans="1:6" x14ac:dyDescent="0.3">
      <c r="A164" s="307"/>
      <c r="B164" s="293"/>
      <c r="C164" s="156"/>
      <c r="D164" s="156"/>
      <c r="E164" s="156"/>
      <c r="F164" s="156"/>
    </row>
    <row r="165" spans="1:6" x14ac:dyDescent="0.3">
      <c r="A165" s="307"/>
      <c r="B165" s="293"/>
      <c r="C165" s="156"/>
      <c r="D165" s="156"/>
      <c r="E165" s="156"/>
      <c r="F165" s="156"/>
    </row>
    <row r="166" spans="1:6" x14ac:dyDescent="0.3">
      <c r="A166" s="307"/>
      <c r="B166" s="293"/>
      <c r="C166" s="156"/>
      <c r="D166" s="156"/>
      <c r="E166" s="156"/>
      <c r="F166" s="156"/>
    </row>
    <row r="167" spans="1:6" x14ac:dyDescent="0.3">
      <c r="A167" s="307"/>
      <c r="B167" s="293"/>
      <c r="C167" s="156"/>
      <c r="D167" s="156"/>
      <c r="E167" s="156"/>
      <c r="F167" s="156"/>
    </row>
    <row r="168" spans="1:6" x14ac:dyDescent="0.3">
      <c r="A168" s="307"/>
      <c r="B168" s="293"/>
      <c r="C168" s="156"/>
      <c r="D168" s="156"/>
      <c r="E168" s="156"/>
      <c r="F168" s="156"/>
    </row>
    <row r="169" spans="1:6" x14ac:dyDescent="0.3">
      <c r="A169" s="307"/>
      <c r="B169" s="293"/>
      <c r="C169" s="156"/>
      <c r="D169" s="156"/>
      <c r="E169" s="156"/>
      <c r="F169" s="156"/>
    </row>
    <row r="170" spans="1:6" x14ac:dyDescent="0.3">
      <c r="A170" s="307"/>
      <c r="B170" s="293"/>
      <c r="C170" s="156"/>
      <c r="D170" s="156"/>
      <c r="E170" s="156"/>
      <c r="F170" s="156"/>
    </row>
    <row r="171" spans="1:6" x14ac:dyDescent="0.3">
      <c r="A171" s="307"/>
      <c r="B171" s="293"/>
      <c r="C171" s="156"/>
      <c r="D171" s="156"/>
      <c r="E171" s="156"/>
      <c r="F171" s="156"/>
    </row>
    <row r="172" spans="1:6" x14ac:dyDescent="0.3">
      <c r="A172" s="307"/>
      <c r="B172" s="293"/>
      <c r="C172" s="156"/>
      <c r="D172" s="156"/>
      <c r="E172" s="156"/>
      <c r="F172" s="156"/>
    </row>
    <row r="173" spans="1:6" x14ac:dyDescent="0.3">
      <c r="A173" s="307"/>
      <c r="B173" s="293"/>
      <c r="C173" s="156"/>
      <c r="D173" s="156"/>
      <c r="E173" s="156"/>
      <c r="F173" s="156"/>
    </row>
    <row r="174" spans="1:6" x14ac:dyDescent="0.3">
      <c r="A174" s="307"/>
      <c r="B174" s="293"/>
      <c r="C174" s="156"/>
      <c r="D174" s="156"/>
      <c r="E174" s="156"/>
      <c r="F174" s="156"/>
    </row>
    <row r="175" spans="1:6" x14ac:dyDescent="0.3">
      <c r="A175" s="307"/>
      <c r="B175" s="293"/>
      <c r="C175" s="156"/>
      <c r="D175" s="156"/>
      <c r="E175" s="156"/>
      <c r="F175" s="156"/>
    </row>
    <row r="176" spans="1:6" x14ac:dyDescent="0.3">
      <c r="A176" s="307"/>
      <c r="B176" s="293"/>
      <c r="C176" s="156"/>
      <c r="D176" s="156"/>
      <c r="E176" s="156"/>
      <c r="F176" s="156"/>
    </row>
    <row r="177" spans="1:6" x14ac:dyDescent="0.3">
      <c r="A177" s="307"/>
      <c r="B177" s="293"/>
      <c r="C177" s="156"/>
      <c r="D177" s="156"/>
      <c r="E177" s="156"/>
      <c r="F177" s="156"/>
    </row>
    <row r="178" spans="1:6" x14ac:dyDescent="0.3">
      <c r="A178" s="307"/>
      <c r="B178" s="293"/>
      <c r="C178" s="156"/>
      <c r="D178" s="156"/>
      <c r="E178" s="156"/>
      <c r="F178" s="156"/>
    </row>
    <row r="179" spans="1:6" x14ac:dyDescent="0.3">
      <c r="A179" s="307"/>
      <c r="B179" s="293"/>
      <c r="C179" s="156"/>
      <c r="D179" s="156"/>
      <c r="E179" s="156"/>
      <c r="F179" s="156"/>
    </row>
    <row r="180" spans="1:6" x14ac:dyDescent="0.3">
      <c r="A180" s="307"/>
      <c r="B180" s="293"/>
      <c r="C180" s="156"/>
      <c r="D180" s="156"/>
      <c r="E180" s="156"/>
      <c r="F180" s="156"/>
    </row>
    <row r="181" spans="1:6" x14ac:dyDescent="0.3">
      <c r="A181" s="307"/>
      <c r="B181" s="293"/>
      <c r="C181" s="156"/>
      <c r="D181" s="156"/>
      <c r="E181" s="156"/>
      <c r="F181" s="156"/>
    </row>
    <row r="182" spans="1:6" x14ac:dyDescent="0.3">
      <c r="A182" s="307"/>
      <c r="B182" s="293"/>
      <c r="C182" s="156"/>
      <c r="D182" s="156"/>
      <c r="E182" s="156"/>
      <c r="F182" s="156"/>
    </row>
    <row r="183" spans="1:6" x14ac:dyDescent="0.3">
      <c r="A183" s="307"/>
      <c r="B183" s="293"/>
      <c r="C183" s="156"/>
      <c r="D183" s="156"/>
      <c r="E183" s="156"/>
      <c r="F183" s="156"/>
    </row>
    <row r="184" spans="1:6" x14ac:dyDescent="0.3">
      <c r="A184" s="307"/>
      <c r="B184" s="293"/>
      <c r="C184" s="156"/>
      <c r="D184" s="156"/>
      <c r="E184" s="156"/>
      <c r="F184" s="156"/>
    </row>
    <row r="185" spans="1:6" x14ac:dyDescent="0.3">
      <c r="A185" s="307"/>
      <c r="B185" s="293"/>
      <c r="C185" s="156"/>
      <c r="D185" s="156"/>
      <c r="E185" s="156"/>
      <c r="F185" s="156"/>
    </row>
    <row r="186" spans="1:6" x14ac:dyDescent="0.3">
      <c r="A186" s="307"/>
      <c r="B186" s="293"/>
      <c r="C186" s="156"/>
      <c r="D186" s="156"/>
      <c r="E186" s="156"/>
      <c r="F186" s="156"/>
    </row>
    <row r="187" spans="1:6" x14ac:dyDescent="0.3">
      <c r="A187" s="307"/>
      <c r="B187" s="293"/>
      <c r="C187" s="156"/>
      <c r="D187" s="156"/>
      <c r="E187" s="156"/>
      <c r="F187" s="156"/>
    </row>
    <row r="188" spans="1:6" x14ac:dyDescent="0.3">
      <c r="A188" s="307"/>
      <c r="B188" s="293"/>
      <c r="C188" s="156"/>
      <c r="D188" s="156"/>
      <c r="E188" s="156"/>
      <c r="F188" s="156"/>
    </row>
    <row r="189" spans="1:6" x14ac:dyDescent="0.3">
      <c r="A189" s="307"/>
      <c r="B189" s="293"/>
      <c r="C189" s="156"/>
      <c r="D189" s="156"/>
      <c r="E189" s="156"/>
      <c r="F189" s="156"/>
    </row>
    <row r="190" spans="1:6" x14ac:dyDescent="0.3">
      <c r="A190" s="307"/>
      <c r="B190" s="293"/>
      <c r="C190" s="156"/>
      <c r="D190" s="156"/>
      <c r="E190" s="156"/>
      <c r="F190" s="156"/>
    </row>
    <row r="191" spans="1:6" x14ac:dyDescent="0.3">
      <c r="A191" s="307"/>
      <c r="B191" s="293"/>
      <c r="C191" s="156"/>
      <c r="D191" s="156"/>
      <c r="E191" s="156"/>
      <c r="F191" s="156"/>
    </row>
    <row r="192" spans="1:6" x14ac:dyDescent="0.3">
      <c r="A192" s="307"/>
      <c r="B192" s="293"/>
      <c r="C192" s="156"/>
      <c r="D192" s="156"/>
      <c r="E192" s="156"/>
      <c r="F192" s="156"/>
    </row>
    <row r="193" spans="1:6" x14ac:dyDescent="0.3">
      <c r="A193" s="307"/>
      <c r="B193" s="293"/>
      <c r="C193" s="156"/>
      <c r="D193" s="156"/>
      <c r="E193" s="156"/>
      <c r="F193" s="156"/>
    </row>
    <row r="194" spans="1:6" x14ac:dyDescent="0.3">
      <c r="A194" s="307"/>
      <c r="B194" s="293"/>
      <c r="C194" s="156"/>
      <c r="D194" s="156"/>
      <c r="E194" s="156"/>
      <c r="F194" s="156"/>
    </row>
    <row r="195" spans="1:6" x14ac:dyDescent="0.3">
      <c r="A195" s="307"/>
      <c r="B195" s="293"/>
      <c r="C195" s="156"/>
      <c r="D195" s="156"/>
      <c r="E195" s="156"/>
      <c r="F195" s="156"/>
    </row>
    <row r="196" spans="1:6" x14ac:dyDescent="0.3">
      <c r="A196" s="307"/>
      <c r="B196" s="293"/>
      <c r="C196" s="156"/>
      <c r="D196" s="156"/>
      <c r="E196" s="156"/>
      <c r="F196" s="156"/>
    </row>
    <row r="197" spans="1:6" x14ac:dyDescent="0.3">
      <c r="A197" s="307"/>
      <c r="B197" s="293"/>
      <c r="C197" s="156"/>
      <c r="D197" s="156"/>
      <c r="E197" s="156"/>
      <c r="F197" s="156"/>
    </row>
    <row r="198" spans="1:6" x14ac:dyDescent="0.3">
      <c r="A198" s="307"/>
      <c r="B198" s="293"/>
      <c r="C198" s="156"/>
      <c r="D198" s="156"/>
      <c r="E198" s="156"/>
      <c r="F198" s="156"/>
    </row>
    <row r="199" spans="1:6" x14ac:dyDescent="0.3">
      <c r="A199" s="307"/>
      <c r="B199" s="293"/>
      <c r="C199" s="156"/>
      <c r="D199" s="156"/>
      <c r="E199" s="156"/>
      <c r="F199" s="156"/>
    </row>
    <row r="200" spans="1:6" x14ac:dyDescent="0.3">
      <c r="A200" s="307"/>
      <c r="B200" s="293"/>
      <c r="C200" s="156"/>
      <c r="D200" s="156"/>
      <c r="E200" s="156"/>
      <c r="F200" s="156"/>
    </row>
    <row r="201" spans="1:6" x14ac:dyDescent="0.3">
      <c r="A201" s="307"/>
      <c r="B201" s="293"/>
      <c r="C201" s="156"/>
      <c r="D201" s="156"/>
      <c r="E201" s="156"/>
      <c r="F201" s="156"/>
    </row>
    <row r="202" spans="1:6" x14ac:dyDescent="0.3">
      <c r="A202" s="307"/>
      <c r="B202" s="293"/>
      <c r="C202" s="156"/>
      <c r="D202" s="156"/>
      <c r="E202" s="156"/>
      <c r="F202" s="156"/>
    </row>
    <row r="203" spans="1:6" x14ac:dyDescent="0.3">
      <c r="A203" s="307"/>
      <c r="B203" s="293"/>
      <c r="C203" s="156"/>
      <c r="D203" s="156"/>
      <c r="E203" s="156"/>
      <c r="F203" s="156"/>
    </row>
    <row r="204" spans="1:6" x14ac:dyDescent="0.3">
      <c r="A204" s="307"/>
      <c r="B204" s="293"/>
      <c r="C204" s="156"/>
      <c r="D204" s="156"/>
      <c r="E204" s="156"/>
      <c r="F204" s="156"/>
    </row>
    <row r="205" spans="1:6" x14ac:dyDescent="0.3">
      <c r="A205" s="307"/>
      <c r="B205" s="293"/>
      <c r="C205" s="156"/>
      <c r="D205" s="156"/>
      <c r="E205" s="156"/>
      <c r="F205" s="156"/>
    </row>
    <row r="206" spans="1:6" x14ac:dyDescent="0.3">
      <c r="A206" s="307"/>
      <c r="B206" s="293"/>
      <c r="C206" s="156"/>
      <c r="D206" s="156"/>
      <c r="E206" s="156"/>
      <c r="F206" s="156"/>
    </row>
    <row r="207" spans="1:6" x14ac:dyDescent="0.3">
      <c r="A207" s="307"/>
      <c r="B207" s="293"/>
      <c r="C207" s="156"/>
      <c r="D207" s="156"/>
      <c r="E207" s="156"/>
      <c r="F207" s="156"/>
    </row>
    <row r="208" spans="1:6" x14ac:dyDescent="0.3">
      <c r="A208" s="307"/>
      <c r="B208" s="293"/>
      <c r="C208" s="156"/>
      <c r="D208" s="156"/>
      <c r="E208" s="156"/>
      <c r="F208" s="156"/>
    </row>
    <row r="209" spans="1:6" x14ac:dyDescent="0.3">
      <c r="A209" s="307"/>
      <c r="B209" s="293"/>
      <c r="C209" s="156"/>
      <c r="D209" s="156"/>
      <c r="E209" s="156"/>
      <c r="F209" s="156"/>
    </row>
    <row r="210" spans="1:6" x14ac:dyDescent="0.3">
      <c r="A210" s="307"/>
      <c r="B210" s="293"/>
      <c r="C210" s="156"/>
      <c r="D210" s="156"/>
      <c r="E210" s="156"/>
      <c r="F210" s="156"/>
    </row>
    <row r="211" spans="1:6" x14ac:dyDescent="0.3">
      <c r="A211" s="307"/>
      <c r="B211" s="293"/>
      <c r="C211" s="156"/>
      <c r="D211" s="156"/>
      <c r="E211" s="156"/>
      <c r="F211" s="156"/>
    </row>
    <row r="212" spans="1:6" x14ac:dyDescent="0.3">
      <c r="A212" s="307"/>
      <c r="B212" s="293"/>
      <c r="C212" s="156"/>
      <c r="D212" s="156"/>
      <c r="E212" s="156"/>
      <c r="F212" s="156"/>
    </row>
    <row r="213" spans="1:6" x14ac:dyDescent="0.3">
      <c r="A213" s="307"/>
      <c r="B213" s="293"/>
      <c r="C213" s="156"/>
      <c r="D213" s="156"/>
      <c r="E213" s="156"/>
      <c r="F213" s="156"/>
    </row>
    <row r="214" spans="1:6" x14ac:dyDescent="0.3">
      <c r="A214" s="307"/>
      <c r="B214" s="293"/>
      <c r="C214" s="156"/>
      <c r="D214" s="156"/>
      <c r="E214" s="156"/>
      <c r="F214" s="156"/>
    </row>
    <row r="215" spans="1:6" x14ac:dyDescent="0.3">
      <c r="A215" s="307"/>
      <c r="B215" s="293"/>
      <c r="C215" s="156"/>
      <c r="D215" s="156"/>
      <c r="E215" s="156"/>
      <c r="F215" s="156"/>
    </row>
    <row r="216" spans="1:6" x14ac:dyDescent="0.3">
      <c r="A216" s="307"/>
      <c r="B216" s="293"/>
      <c r="C216" s="156"/>
      <c r="D216" s="156"/>
      <c r="E216" s="156"/>
      <c r="F216" s="156"/>
    </row>
    <row r="217" spans="1:6" x14ac:dyDescent="0.3">
      <c r="A217" s="307"/>
      <c r="B217" s="293"/>
      <c r="C217" s="156"/>
      <c r="D217" s="156"/>
      <c r="E217" s="156"/>
      <c r="F217" s="156"/>
    </row>
    <row r="218" spans="1:6" x14ac:dyDescent="0.3">
      <c r="A218" s="307"/>
      <c r="B218" s="293"/>
      <c r="C218" s="156"/>
      <c r="D218" s="156"/>
      <c r="E218" s="156"/>
      <c r="F218" s="156"/>
    </row>
    <row r="219" spans="1:6" x14ac:dyDescent="0.3">
      <c r="A219" s="307"/>
      <c r="B219" s="293"/>
      <c r="C219" s="156"/>
      <c r="D219" s="156"/>
      <c r="E219" s="156"/>
      <c r="F219" s="156"/>
    </row>
    <row r="220" spans="1:6" x14ac:dyDescent="0.3">
      <c r="A220" s="307"/>
      <c r="B220" s="293"/>
      <c r="C220" s="156"/>
      <c r="D220" s="156"/>
      <c r="E220" s="156"/>
      <c r="F220" s="156"/>
    </row>
    <row r="221" spans="1:6" x14ac:dyDescent="0.3">
      <c r="A221" s="307"/>
      <c r="B221" s="293"/>
      <c r="C221" s="156"/>
      <c r="D221" s="156"/>
      <c r="E221" s="156"/>
      <c r="F221" s="156"/>
    </row>
    <row r="222" spans="1:6" x14ac:dyDescent="0.3">
      <c r="A222" s="307"/>
      <c r="B222" s="293"/>
      <c r="C222" s="156"/>
      <c r="D222" s="156"/>
      <c r="E222" s="156"/>
      <c r="F222" s="156"/>
    </row>
    <row r="223" spans="1:6" x14ac:dyDescent="0.3">
      <c r="A223" s="307"/>
      <c r="B223" s="293"/>
      <c r="C223" s="156"/>
      <c r="D223" s="156"/>
      <c r="E223" s="156"/>
      <c r="F223" s="156"/>
    </row>
    <row r="224" spans="1:6" x14ac:dyDescent="0.3">
      <c r="A224" s="307"/>
      <c r="B224" s="293"/>
      <c r="C224" s="156"/>
      <c r="D224" s="156"/>
      <c r="E224" s="156"/>
      <c r="F224" s="156"/>
    </row>
    <row r="225" spans="1:6" x14ac:dyDescent="0.3">
      <c r="A225" s="307"/>
      <c r="B225" s="293"/>
      <c r="C225" s="156"/>
      <c r="D225" s="156"/>
      <c r="E225" s="156"/>
      <c r="F225" s="156"/>
    </row>
    <row r="226" spans="1:6" x14ac:dyDescent="0.3">
      <c r="A226" s="307"/>
      <c r="B226" s="293"/>
      <c r="C226" s="156"/>
      <c r="D226" s="156"/>
      <c r="E226" s="156"/>
      <c r="F226" s="156"/>
    </row>
    <row r="227" spans="1:6" x14ac:dyDescent="0.3">
      <c r="A227" s="307"/>
      <c r="B227" s="293"/>
      <c r="C227" s="156"/>
      <c r="D227" s="156"/>
      <c r="E227" s="156"/>
      <c r="F227" s="156"/>
    </row>
    <row r="228" spans="1:6" x14ac:dyDescent="0.3">
      <c r="A228" s="307"/>
      <c r="B228" s="293"/>
      <c r="C228" s="156"/>
      <c r="D228" s="156"/>
      <c r="E228" s="156"/>
      <c r="F228" s="156"/>
    </row>
    <row r="229" spans="1:6" x14ac:dyDescent="0.3">
      <c r="A229" s="307"/>
      <c r="B229" s="293"/>
      <c r="C229" s="156"/>
      <c r="D229" s="156"/>
      <c r="E229" s="156"/>
      <c r="F229" s="156"/>
    </row>
    <row r="230" spans="1:6" x14ac:dyDescent="0.3">
      <c r="A230" s="307"/>
      <c r="B230" s="293"/>
      <c r="C230" s="156"/>
      <c r="D230" s="156"/>
      <c r="E230" s="156"/>
      <c r="F230" s="156"/>
    </row>
    <row r="231" spans="1:6" x14ac:dyDescent="0.3">
      <c r="A231" s="307"/>
      <c r="B231" s="293"/>
      <c r="C231" s="156"/>
      <c r="D231" s="156"/>
      <c r="E231" s="156"/>
      <c r="F231" s="156"/>
    </row>
    <row r="232" spans="1:6" x14ac:dyDescent="0.3">
      <c r="A232" s="307"/>
      <c r="B232" s="293"/>
      <c r="C232" s="156"/>
      <c r="D232" s="156"/>
      <c r="E232" s="156"/>
      <c r="F232" s="156"/>
    </row>
    <row r="233" spans="1:6" x14ac:dyDescent="0.3">
      <c r="A233" s="307"/>
      <c r="B233" s="293"/>
      <c r="C233" s="156"/>
      <c r="D233" s="156"/>
      <c r="E233" s="156"/>
      <c r="F233" s="156"/>
    </row>
    <row r="234" spans="1:6" x14ac:dyDescent="0.3">
      <c r="A234" s="307"/>
      <c r="B234" s="293"/>
      <c r="C234" s="156"/>
      <c r="D234" s="156"/>
      <c r="E234" s="156"/>
      <c r="F234" s="156"/>
    </row>
    <row r="235" spans="1:6" x14ac:dyDescent="0.3">
      <c r="A235" s="307"/>
      <c r="B235" s="293"/>
      <c r="C235" s="156"/>
      <c r="D235" s="156"/>
      <c r="E235" s="156"/>
      <c r="F235" s="156"/>
    </row>
    <row r="236" spans="1:6" x14ac:dyDescent="0.3">
      <c r="A236" s="307"/>
      <c r="B236" s="293"/>
      <c r="C236" s="156"/>
      <c r="D236" s="156"/>
      <c r="E236" s="156"/>
      <c r="F236" s="156"/>
    </row>
    <row r="237" spans="1:6" x14ac:dyDescent="0.3">
      <c r="A237" s="307"/>
      <c r="B237" s="293"/>
      <c r="C237" s="156"/>
      <c r="D237" s="156"/>
      <c r="E237" s="156"/>
      <c r="F237" s="156"/>
    </row>
    <row r="238" spans="1:6" x14ac:dyDescent="0.3">
      <c r="A238" s="307"/>
      <c r="B238" s="293"/>
      <c r="C238" s="156"/>
      <c r="D238" s="156"/>
      <c r="E238" s="156"/>
      <c r="F238" s="156"/>
    </row>
    <row r="239" spans="1:6" x14ac:dyDescent="0.3">
      <c r="A239" s="307"/>
      <c r="B239" s="293"/>
      <c r="C239" s="156"/>
      <c r="D239" s="156"/>
      <c r="E239" s="156"/>
      <c r="F239" s="156"/>
    </row>
    <row r="240" spans="1:6" x14ac:dyDescent="0.3">
      <c r="A240" s="307"/>
      <c r="B240" s="293"/>
      <c r="C240" s="156"/>
      <c r="D240" s="156"/>
      <c r="E240" s="156"/>
      <c r="F240" s="156"/>
    </row>
    <row r="241" spans="1:6" x14ac:dyDescent="0.3">
      <c r="A241" s="307"/>
      <c r="B241" s="293"/>
      <c r="C241" s="156"/>
      <c r="D241" s="156"/>
      <c r="E241" s="156"/>
      <c r="F241" s="156"/>
    </row>
    <row r="242" spans="1:6" x14ac:dyDescent="0.3">
      <c r="A242" s="307"/>
      <c r="B242" s="293"/>
      <c r="C242" s="156"/>
      <c r="D242" s="156"/>
      <c r="E242" s="156"/>
      <c r="F242" s="156"/>
    </row>
    <row r="243" spans="1:6" x14ac:dyDescent="0.3">
      <c r="A243" s="307"/>
      <c r="B243" s="293"/>
      <c r="C243" s="156"/>
      <c r="D243" s="156"/>
      <c r="E243" s="156"/>
      <c r="F243" s="156"/>
    </row>
    <row r="244" spans="1:6" x14ac:dyDescent="0.3">
      <c r="A244" s="307"/>
      <c r="B244" s="293"/>
      <c r="C244" s="156"/>
      <c r="D244" s="156"/>
      <c r="E244" s="156"/>
      <c r="F244" s="156"/>
    </row>
    <row r="245" spans="1:6" x14ac:dyDescent="0.3">
      <c r="A245" s="307"/>
      <c r="B245" s="293"/>
      <c r="C245" s="156"/>
      <c r="D245" s="156"/>
      <c r="E245" s="156"/>
      <c r="F245" s="156"/>
    </row>
    <row r="246" spans="1:6" x14ac:dyDescent="0.3">
      <c r="A246" s="307"/>
      <c r="B246" s="293"/>
      <c r="C246" s="156"/>
      <c r="D246" s="156"/>
      <c r="E246" s="156"/>
      <c r="F246" s="156"/>
    </row>
    <row r="247" spans="1:6" x14ac:dyDescent="0.3">
      <c r="A247" s="307"/>
      <c r="B247" s="293"/>
      <c r="C247" s="156"/>
      <c r="D247" s="156"/>
      <c r="E247" s="156"/>
      <c r="F247" s="156"/>
    </row>
    <row r="248" spans="1:6" x14ac:dyDescent="0.3">
      <c r="A248" s="307"/>
      <c r="B248" s="293"/>
      <c r="C248" s="156"/>
      <c r="D248" s="156"/>
      <c r="E248" s="156"/>
      <c r="F248" s="156"/>
    </row>
    <row r="249" spans="1:6" x14ac:dyDescent="0.3">
      <c r="A249" s="307"/>
      <c r="B249" s="293"/>
      <c r="C249" s="156"/>
      <c r="D249" s="156"/>
      <c r="E249" s="156"/>
      <c r="F249" s="156"/>
    </row>
    <row r="250" spans="1:6" x14ac:dyDescent="0.3">
      <c r="A250" s="307"/>
      <c r="B250" s="293"/>
      <c r="C250" s="156"/>
      <c r="D250" s="156"/>
      <c r="E250" s="156"/>
      <c r="F250" s="156"/>
    </row>
    <row r="251" spans="1:6" x14ac:dyDescent="0.3">
      <c r="A251" s="307"/>
      <c r="B251" s="293"/>
      <c r="C251" s="156"/>
      <c r="D251" s="156"/>
      <c r="E251" s="156"/>
      <c r="F251" s="156"/>
    </row>
    <row r="252" spans="1:6" x14ac:dyDescent="0.3">
      <c r="A252" s="307"/>
      <c r="B252" s="293"/>
      <c r="C252" s="156"/>
      <c r="D252" s="156"/>
      <c r="E252" s="156"/>
      <c r="F252" s="156"/>
    </row>
    <row r="253" spans="1:6" x14ac:dyDescent="0.3">
      <c r="A253" s="307"/>
      <c r="B253" s="293"/>
      <c r="C253" s="156"/>
      <c r="D253" s="156"/>
      <c r="E253" s="156"/>
      <c r="F253" s="156"/>
    </row>
    <row r="254" spans="1:6" x14ac:dyDescent="0.3">
      <c r="A254" s="307"/>
      <c r="B254" s="293"/>
      <c r="C254" s="156"/>
      <c r="D254" s="156"/>
      <c r="E254" s="156"/>
      <c r="F254" s="156"/>
    </row>
    <row r="255" spans="1:6" x14ac:dyDescent="0.3">
      <c r="A255" s="307"/>
      <c r="B255" s="293"/>
      <c r="C255" s="156"/>
      <c r="D255" s="156"/>
      <c r="E255" s="156"/>
      <c r="F255" s="156"/>
    </row>
    <row r="256" spans="1:6" x14ac:dyDescent="0.3">
      <c r="A256" s="307"/>
      <c r="B256" s="293"/>
      <c r="C256" s="156"/>
      <c r="D256" s="156"/>
      <c r="E256" s="156"/>
      <c r="F256" s="156"/>
    </row>
    <row r="257" spans="1:6" x14ac:dyDescent="0.3">
      <c r="A257" s="307"/>
      <c r="B257" s="293"/>
      <c r="C257" s="156"/>
      <c r="D257" s="156"/>
      <c r="E257" s="156"/>
      <c r="F257" s="156"/>
    </row>
    <row r="258" spans="1:6" x14ac:dyDescent="0.3">
      <c r="A258" s="307"/>
      <c r="B258" s="293"/>
      <c r="C258" s="156"/>
      <c r="D258" s="156"/>
      <c r="E258" s="156"/>
      <c r="F258" s="156"/>
    </row>
    <row r="259" spans="1:6" x14ac:dyDescent="0.3">
      <c r="A259" s="307"/>
      <c r="B259" s="293"/>
      <c r="C259" s="156"/>
      <c r="D259" s="156"/>
      <c r="E259" s="156"/>
      <c r="F259" s="156"/>
    </row>
    <row r="260" spans="1:6" x14ac:dyDescent="0.3">
      <c r="A260" s="307"/>
      <c r="B260" s="293"/>
      <c r="C260" s="156"/>
      <c r="D260" s="156"/>
      <c r="E260" s="156"/>
      <c r="F260" s="156"/>
    </row>
    <row r="261" spans="1:6" x14ac:dyDescent="0.3">
      <c r="A261" s="307"/>
      <c r="B261" s="293"/>
      <c r="C261" s="156"/>
      <c r="D261" s="156"/>
      <c r="E261" s="156"/>
      <c r="F261" s="156"/>
    </row>
    <row r="262" spans="1:6" x14ac:dyDescent="0.3">
      <c r="A262" s="307"/>
      <c r="B262" s="293"/>
      <c r="C262" s="156"/>
      <c r="D262" s="156"/>
      <c r="E262" s="156"/>
      <c r="F262" s="156"/>
    </row>
    <row r="263" spans="1:6" x14ac:dyDescent="0.3">
      <c r="A263" s="307"/>
      <c r="B263" s="293"/>
      <c r="C263" s="156"/>
      <c r="D263" s="156"/>
      <c r="E263" s="156"/>
      <c r="F263" s="156"/>
    </row>
    <row r="264" spans="1:6" x14ac:dyDescent="0.3">
      <c r="A264" s="307"/>
      <c r="B264" s="293"/>
      <c r="C264" s="156"/>
      <c r="D264" s="156"/>
      <c r="E264" s="156"/>
      <c r="F264" s="156"/>
    </row>
    <row r="265" spans="1:6" x14ac:dyDescent="0.3">
      <c r="A265" s="307"/>
      <c r="B265" s="293"/>
      <c r="C265" s="156"/>
      <c r="D265" s="156"/>
      <c r="E265" s="156"/>
      <c r="F265" s="156"/>
    </row>
    <row r="266" spans="1:6" x14ac:dyDescent="0.3">
      <c r="A266" s="307"/>
      <c r="B266" s="293"/>
      <c r="C266" s="156"/>
      <c r="D266" s="156"/>
      <c r="E266" s="156"/>
      <c r="F266" s="156"/>
    </row>
    <row r="267" spans="1:6" x14ac:dyDescent="0.3">
      <c r="A267" s="307"/>
      <c r="B267" s="293"/>
      <c r="C267" s="156"/>
      <c r="D267" s="156"/>
      <c r="E267" s="156"/>
      <c r="F267" s="156"/>
    </row>
    <row r="268" spans="1:6" x14ac:dyDescent="0.3">
      <c r="A268" s="307"/>
      <c r="B268" s="293"/>
      <c r="C268" s="156"/>
      <c r="D268" s="156"/>
      <c r="E268" s="156"/>
      <c r="F268" s="156"/>
    </row>
    <row r="269" spans="1:6" x14ac:dyDescent="0.3">
      <c r="A269" s="307"/>
      <c r="B269" s="293"/>
      <c r="C269" s="156"/>
      <c r="D269" s="156"/>
      <c r="E269" s="156"/>
      <c r="F269" s="156"/>
    </row>
    <row r="270" spans="1:6" x14ac:dyDescent="0.3">
      <c r="A270" s="307"/>
      <c r="B270" s="293"/>
      <c r="C270" s="156"/>
      <c r="D270" s="156"/>
      <c r="E270" s="156"/>
      <c r="F270" s="156"/>
    </row>
    <row r="271" spans="1:6" x14ac:dyDescent="0.3">
      <c r="A271" s="307"/>
      <c r="B271" s="293"/>
      <c r="C271" s="156"/>
      <c r="D271" s="156"/>
      <c r="E271" s="156"/>
      <c r="F271" s="156"/>
    </row>
    <row r="272" spans="1:6" x14ac:dyDescent="0.3">
      <c r="A272" s="307"/>
      <c r="B272" s="293"/>
      <c r="C272" s="156"/>
      <c r="D272" s="156"/>
      <c r="E272" s="156"/>
      <c r="F272" s="156"/>
    </row>
    <row r="273" spans="1:6" x14ac:dyDescent="0.3">
      <c r="A273" s="307"/>
      <c r="B273" s="293"/>
      <c r="C273" s="156"/>
      <c r="D273" s="156"/>
      <c r="E273" s="156"/>
      <c r="F273" s="156"/>
    </row>
    <row r="274" spans="1:6" x14ac:dyDescent="0.3">
      <c r="A274" s="307"/>
      <c r="B274" s="293"/>
      <c r="C274" s="156"/>
      <c r="D274" s="156"/>
      <c r="E274" s="156"/>
      <c r="F274" s="156"/>
    </row>
    <row r="275" spans="1:6" x14ac:dyDescent="0.3">
      <c r="A275" s="307"/>
      <c r="B275" s="293"/>
      <c r="C275" s="156"/>
      <c r="D275" s="156"/>
      <c r="E275" s="156"/>
      <c r="F275" s="156"/>
    </row>
    <row r="276" spans="1:6" x14ac:dyDescent="0.3">
      <c r="A276" s="307"/>
      <c r="B276" s="293"/>
      <c r="C276" s="156"/>
      <c r="D276" s="156"/>
      <c r="E276" s="156"/>
      <c r="F276" s="156"/>
    </row>
    <row r="277" spans="1:6" x14ac:dyDescent="0.3">
      <c r="A277" s="307"/>
      <c r="B277" s="293"/>
      <c r="C277" s="156"/>
      <c r="D277" s="156"/>
      <c r="E277" s="156"/>
      <c r="F277" s="156"/>
    </row>
    <row r="278" spans="1:6" x14ac:dyDescent="0.3">
      <c r="A278" s="307"/>
      <c r="B278" s="293"/>
      <c r="C278" s="156"/>
      <c r="D278" s="156"/>
      <c r="E278" s="156"/>
      <c r="F278" s="156"/>
    </row>
    <row r="279" spans="1:6" x14ac:dyDescent="0.3">
      <c r="A279" s="307"/>
      <c r="B279" s="293"/>
      <c r="C279" s="156"/>
      <c r="D279" s="156"/>
      <c r="E279" s="156"/>
      <c r="F279" s="156"/>
    </row>
    <row r="280" spans="1:6" x14ac:dyDescent="0.3">
      <c r="A280" s="307"/>
      <c r="B280" s="293"/>
      <c r="C280" s="156"/>
      <c r="D280" s="156"/>
      <c r="E280" s="156"/>
      <c r="F280" s="156"/>
    </row>
    <row r="281" spans="1:6" x14ac:dyDescent="0.3">
      <c r="A281" s="307"/>
      <c r="B281" s="293"/>
      <c r="C281" s="156"/>
      <c r="D281" s="156"/>
      <c r="E281" s="156"/>
      <c r="F281" s="156"/>
    </row>
    <row r="282" spans="1:6" x14ac:dyDescent="0.3">
      <c r="A282" s="307"/>
      <c r="B282" s="293"/>
      <c r="C282" s="156"/>
      <c r="D282" s="156"/>
      <c r="E282" s="156"/>
      <c r="F282" s="156"/>
    </row>
    <row r="283" spans="1:6" x14ac:dyDescent="0.3">
      <c r="A283" s="307"/>
      <c r="B283" s="293"/>
      <c r="C283" s="156"/>
      <c r="D283" s="156"/>
      <c r="E283" s="156"/>
      <c r="F283" s="156"/>
    </row>
    <row r="284" spans="1:6" x14ac:dyDescent="0.3">
      <c r="A284" s="307"/>
      <c r="B284" s="293"/>
      <c r="C284" s="156"/>
      <c r="D284" s="156"/>
      <c r="E284" s="156"/>
      <c r="F284" s="156"/>
    </row>
    <row r="285" spans="1:6" x14ac:dyDescent="0.3">
      <c r="A285" s="307"/>
      <c r="B285" s="293"/>
      <c r="C285" s="156"/>
      <c r="D285" s="156"/>
      <c r="E285" s="156"/>
      <c r="F285" s="156"/>
    </row>
    <row r="286" spans="1:6" x14ac:dyDescent="0.3">
      <c r="A286" s="307"/>
      <c r="B286" s="293"/>
      <c r="C286" s="156"/>
      <c r="D286" s="156"/>
      <c r="E286" s="156"/>
      <c r="F286" s="156"/>
    </row>
    <row r="287" spans="1:6" x14ac:dyDescent="0.3">
      <c r="A287" s="307"/>
      <c r="B287" s="293"/>
      <c r="C287" s="156"/>
      <c r="D287" s="156"/>
      <c r="E287" s="156"/>
      <c r="F287" s="156"/>
    </row>
    <row r="288" spans="1:6" x14ac:dyDescent="0.3">
      <c r="A288" s="307"/>
      <c r="B288" s="293"/>
      <c r="C288" s="156"/>
      <c r="D288" s="156"/>
      <c r="E288" s="156"/>
      <c r="F288" s="156"/>
    </row>
    <row r="289" spans="1:6" x14ac:dyDescent="0.3">
      <c r="A289" s="307"/>
      <c r="B289" s="293"/>
      <c r="C289" s="156"/>
      <c r="D289" s="156"/>
      <c r="E289" s="156"/>
      <c r="F289" s="156"/>
    </row>
    <row r="290" spans="1:6" x14ac:dyDescent="0.3">
      <c r="A290" s="307"/>
      <c r="B290" s="293"/>
      <c r="C290" s="156"/>
      <c r="D290" s="156"/>
      <c r="E290" s="156"/>
      <c r="F290" s="156"/>
    </row>
    <row r="291" spans="1:6" x14ac:dyDescent="0.3">
      <c r="A291" s="307"/>
      <c r="B291" s="293"/>
      <c r="C291" s="156"/>
      <c r="D291" s="156"/>
      <c r="E291" s="156"/>
      <c r="F291" s="156"/>
    </row>
    <row r="292" spans="1:6" x14ac:dyDescent="0.3">
      <c r="A292" s="307"/>
      <c r="B292" s="293"/>
      <c r="C292" s="156"/>
      <c r="D292" s="156"/>
      <c r="E292" s="156"/>
      <c r="F292" s="156"/>
    </row>
    <row r="293" spans="1:6" x14ac:dyDescent="0.3">
      <c r="A293" s="307"/>
      <c r="B293" s="293"/>
      <c r="C293" s="156"/>
      <c r="D293" s="156"/>
      <c r="E293" s="156"/>
      <c r="F293" s="156"/>
    </row>
    <row r="294" spans="1:6" x14ac:dyDescent="0.3">
      <c r="A294" s="307"/>
      <c r="B294" s="293"/>
      <c r="C294" s="156"/>
      <c r="D294" s="156"/>
      <c r="E294" s="156"/>
      <c r="F294" s="156"/>
    </row>
    <row r="295" spans="1:6" x14ac:dyDescent="0.3">
      <c r="A295" s="307"/>
      <c r="B295" s="293"/>
      <c r="C295" s="156"/>
      <c r="D295" s="156"/>
      <c r="E295" s="156"/>
      <c r="F295" s="156"/>
    </row>
    <row r="296" spans="1:6" x14ac:dyDescent="0.3">
      <c r="A296" s="307"/>
      <c r="B296" s="293"/>
      <c r="C296" s="156"/>
      <c r="D296" s="156"/>
      <c r="E296" s="156"/>
      <c r="F296" s="156"/>
    </row>
    <row r="297" spans="1:6" x14ac:dyDescent="0.3">
      <c r="A297" s="307"/>
      <c r="B297" s="293"/>
      <c r="C297" s="156"/>
      <c r="D297" s="156"/>
      <c r="E297" s="156"/>
      <c r="F297" s="156"/>
    </row>
    <row r="298" spans="1:6" x14ac:dyDescent="0.3">
      <c r="A298" s="307"/>
      <c r="B298" s="293"/>
      <c r="C298" s="156"/>
      <c r="D298" s="156"/>
      <c r="E298" s="156"/>
      <c r="F298" s="156"/>
    </row>
    <row r="299" spans="1:6" x14ac:dyDescent="0.3">
      <c r="A299" s="307"/>
      <c r="B299" s="293"/>
      <c r="C299" s="156"/>
      <c r="D299" s="156"/>
      <c r="E299" s="156"/>
      <c r="F299" s="156"/>
    </row>
    <row r="300" spans="1:6" x14ac:dyDescent="0.3">
      <c r="A300" s="307"/>
      <c r="B300" s="293"/>
      <c r="C300" s="156"/>
      <c r="D300" s="156"/>
      <c r="E300" s="156"/>
      <c r="F300" s="156"/>
    </row>
    <row r="301" spans="1:6" x14ac:dyDescent="0.3">
      <c r="A301" s="307"/>
      <c r="B301" s="293"/>
      <c r="C301" s="156"/>
      <c r="D301" s="156"/>
      <c r="E301" s="156"/>
      <c r="F301" s="156"/>
    </row>
    <row r="302" spans="1:6" x14ac:dyDescent="0.3">
      <c r="A302" s="307"/>
      <c r="B302" s="293"/>
      <c r="C302" s="156"/>
      <c r="D302" s="156"/>
      <c r="E302" s="156"/>
      <c r="F302" s="156"/>
    </row>
    <row r="303" spans="1:6" x14ac:dyDescent="0.3">
      <c r="A303" s="307"/>
      <c r="B303" s="293"/>
      <c r="C303" s="156"/>
      <c r="D303" s="156"/>
      <c r="E303" s="156"/>
      <c r="F303" s="156"/>
    </row>
    <row r="304" spans="1:6" x14ac:dyDescent="0.3">
      <c r="A304" s="307"/>
      <c r="B304" s="293"/>
      <c r="C304" s="156"/>
      <c r="D304" s="156"/>
      <c r="E304" s="156"/>
      <c r="F304" s="156"/>
    </row>
    <row r="305" spans="1:6" x14ac:dyDescent="0.3">
      <c r="A305" s="307"/>
      <c r="B305" s="293"/>
      <c r="C305" s="156"/>
      <c r="D305" s="156"/>
      <c r="E305" s="156"/>
      <c r="F305" s="156"/>
    </row>
    <row r="306" spans="1:6" x14ac:dyDescent="0.3">
      <c r="A306" s="307"/>
      <c r="B306" s="293"/>
      <c r="C306" s="156"/>
      <c r="D306" s="156"/>
      <c r="E306" s="156"/>
      <c r="F306" s="156"/>
    </row>
    <row r="307" spans="1:6" x14ac:dyDescent="0.3">
      <c r="A307" s="307"/>
      <c r="B307" s="293"/>
      <c r="C307" s="156"/>
      <c r="D307" s="156"/>
      <c r="E307" s="156"/>
      <c r="F307" s="156"/>
    </row>
    <row r="308" spans="1:6" x14ac:dyDescent="0.3">
      <c r="A308" s="307"/>
      <c r="B308" s="293"/>
      <c r="C308" s="156"/>
      <c r="D308" s="156"/>
      <c r="E308" s="156"/>
      <c r="F308" s="156"/>
    </row>
    <row r="309" spans="1:6" x14ac:dyDescent="0.3">
      <c r="A309" s="307"/>
      <c r="B309" s="293"/>
      <c r="C309" s="156"/>
      <c r="D309" s="156"/>
      <c r="E309" s="156"/>
      <c r="F309" s="156"/>
    </row>
    <row r="310" spans="1:6" x14ac:dyDescent="0.3">
      <c r="A310" s="307"/>
      <c r="B310" s="293"/>
      <c r="C310" s="156"/>
      <c r="D310" s="156"/>
      <c r="E310" s="156"/>
      <c r="F310" s="156"/>
    </row>
    <row r="311" spans="1:6" x14ac:dyDescent="0.3">
      <c r="A311" s="307"/>
      <c r="B311" s="293"/>
      <c r="C311" s="156"/>
      <c r="D311" s="156"/>
      <c r="E311" s="156"/>
      <c r="F311" s="156"/>
    </row>
    <row r="312" spans="1:6" x14ac:dyDescent="0.3">
      <c r="A312" s="307"/>
      <c r="B312" s="293"/>
      <c r="C312" s="156"/>
      <c r="D312" s="156"/>
      <c r="E312" s="156"/>
      <c r="F312" s="156"/>
    </row>
    <row r="313" spans="1:6" x14ac:dyDescent="0.3">
      <c r="A313" s="307"/>
      <c r="B313" s="293"/>
      <c r="C313" s="156"/>
      <c r="D313" s="156"/>
      <c r="E313" s="156"/>
      <c r="F313" s="156"/>
    </row>
    <row r="314" spans="1:6" x14ac:dyDescent="0.3">
      <c r="A314" s="307"/>
      <c r="B314" s="293"/>
      <c r="C314" s="156"/>
      <c r="D314" s="156"/>
      <c r="E314" s="156"/>
      <c r="F314" s="156"/>
    </row>
    <row r="315" spans="1:6" x14ac:dyDescent="0.3">
      <c r="A315" s="307"/>
      <c r="B315" s="293"/>
      <c r="C315" s="156"/>
      <c r="D315" s="156"/>
      <c r="E315" s="156"/>
      <c r="F315" s="156"/>
    </row>
    <row r="316" spans="1:6" x14ac:dyDescent="0.3">
      <c r="A316" s="307"/>
      <c r="B316" s="293"/>
      <c r="C316" s="156"/>
      <c r="D316" s="156"/>
      <c r="E316" s="156"/>
      <c r="F316" s="156"/>
    </row>
    <row r="317" spans="1:6" x14ac:dyDescent="0.3">
      <c r="A317" s="307"/>
      <c r="B317" s="293"/>
      <c r="C317" s="156"/>
      <c r="D317" s="156"/>
      <c r="E317" s="156"/>
      <c r="F317" s="156"/>
    </row>
    <row r="318" spans="1:6" x14ac:dyDescent="0.3">
      <c r="A318" s="307"/>
      <c r="B318" s="293"/>
      <c r="C318" s="156"/>
      <c r="D318" s="156"/>
      <c r="E318" s="156"/>
      <c r="F318" s="156"/>
    </row>
    <row r="319" spans="1:6" x14ac:dyDescent="0.3">
      <c r="A319" s="307"/>
      <c r="B319" s="293"/>
      <c r="C319" s="156"/>
      <c r="D319" s="156"/>
      <c r="E319" s="156"/>
      <c r="F319" s="156"/>
    </row>
    <row r="320" spans="1:6" x14ac:dyDescent="0.3">
      <c r="A320" s="307"/>
      <c r="B320" s="293"/>
      <c r="C320" s="156"/>
      <c r="D320" s="156"/>
      <c r="E320" s="156"/>
      <c r="F320" s="156"/>
    </row>
    <row r="321" spans="1:6" x14ac:dyDescent="0.3">
      <c r="A321" s="307"/>
      <c r="B321" s="293"/>
      <c r="C321" s="156"/>
      <c r="D321" s="156"/>
      <c r="E321" s="156"/>
      <c r="F321" s="156"/>
    </row>
    <row r="322" spans="1:6" x14ac:dyDescent="0.3">
      <c r="A322" s="307"/>
      <c r="B322" s="293"/>
      <c r="C322" s="156"/>
      <c r="D322" s="156"/>
      <c r="E322" s="156"/>
      <c r="F322" s="156"/>
    </row>
    <row r="323" spans="1:6" x14ac:dyDescent="0.3">
      <c r="A323" s="307"/>
      <c r="B323" s="293"/>
      <c r="C323" s="156"/>
      <c r="D323" s="156"/>
      <c r="E323" s="156"/>
      <c r="F323" s="156"/>
    </row>
    <row r="324" spans="1:6" x14ac:dyDescent="0.3">
      <c r="A324" s="307"/>
      <c r="B324" s="293"/>
      <c r="C324" s="156"/>
      <c r="D324" s="156"/>
      <c r="E324" s="156"/>
      <c r="F324" s="156"/>
    </row>
    <row r="325" spans="1:6" x14ac:dyDescent="0.3">
      <c r="A325" s="307"/>
      <c r="B325" s="293"/>
      <c r="C325" s="156"/>
      <c r="D325" s="156"/>
      <c r="E325" s="156"/>
      <c r="F325" s="156"/>
    </row>
    <row r="326" spans="1:6" x14ac:dyDescent="0.3">
      <c r="A326" s="307"/>
      <c r="B326" s="293"/>
      <c r="C326" s="156"/>
      <c r="D326" s="156"/>
      <c r="E326" s="156"/>
      <c r="F326" s="156"/>
    </row>
    <row r="327" spans="1:6" x14ac:dyDescent="0.3">
      <c r="A327" s="307"/>
      <c r="B327" s="293"/>
      <c r="C327" s="156"/>
      <c r="D327" s="156"/>
      <c r="E327" s="156"/>
      <c r="F327" s="156"/>
    </row>
    <row r="328" spans="1:6" x14ac:dyDescent="0.3">
      <c r="A328" s="307"/>
      <c r="B328" s="293"/>
      <c r="C328" s="156"/>
      <c r="D328" s="156"/>
      <c r="E328" s="156"/>
      <c r="F328" s="156"/>
    </row>
    <row r="329" spans="1:6" x14ac:dyDescent="0.3">
      <c r="A329" s="307"/>
      <c r="B329" s="293"/>
      <c r="C329" s="156"/>
      <c r="D329" s="156"/>
      <c r="E329" s="156"/>
      <c r="F329" s="156"/>
    </row>
    <row r="330" spans="1:6" x14ac:dyDescent="0.3">
      <c r="A330" s="307"/>
      <c r="B330" s="293"/>
      <c r="C330" s="156"/>
      <c r="D330" s="156"/>
      <c r="E330" s="156"/>
      <c r="F330" s="156"/>
    </row>
    <row r="331" spans="1:6" x14ac:dyDescent="0.3">
      <c r="A331" s="307"/>
      <c r="B331" s="293"/>
      <c r="C331" s="156"/>
      <c r="D331" s="156"/>
      <c r="E331" s="156"/>
      <c r="F331" s="156"/>
    </row>
    <row r="332" spans="1:6" x14ac:dyDescent="0.3">
      <c r="A332" s="307"/>
      <c r="B332" s="293"/>
      <c r="C332" s="156"/>
      <c r="D332" s="156"/>
      <c r="E332" s="156"/>
      <c r="F332" s="156"/>
    </row>
    <row r="333" spans="1:6" x14ac:dyDescent="0.3">
      <c r="A333" s="307"/>
      <c r="B333" s="293"/>
      <c r="C333" s="156"/>
      <c r="D333" s="156"/>
      <c r="E333" s="156"/>
      <c r="F333" s="156"/>
    </row>
    <row r="334" spans="1:6" x14ac:dyDescent="0.3">
      <c r="A334" s="307"/>
      <c r="B334" s="293"/>
      <c r="C334" s="156"/>
      <c r="D334" s="156"/>
      <c r="E334" s="156"/>
      <c r="F334" s="156"/>
    </row>
    <row r="335" spans="1:6" x14ac:dyDescent="0.3">
      <c r="A335" s="307"/>
      <c r="B335" s="293"/>
      <c r="C335" s="156"/>
      <c r="D335" s="156"/>
      <c r="E335" s="156"/>
      <c r="F335" s="156"/>
    </row>
    <row r="336" spans="1:6" x14ac:dyDescent="0.3">
      <c r="A336" s="307"/>
      <c r="B336" s="293"/>
      <c r="C336" s="156"/>
      <c r="D336" s="156"/>
      <c r="E336" s="156"/>
      <c r="F336" s="156"/>
    </row>
    <row r="337" spans="1:6" x14ac:dyDescent="0.3">
      <c r="A337" s="307"/>
      <c r="B337" s="293"/>
      <c r="C337" s="156"/>
      <c r="D337" s="156"/>
      <c r="E337" s="156"/>
      <c r="F337" s="156"/>
    </row>
    <row r="338" spans="1:6" x14ac:dyDescent="0.3">
      <c r="A338" s="307"/>
      <c r="B338" s="293"/>
      <c r="C338" s="156"/>
      <c r="D338" s="156"/>
      <c r="E338" s="156"/>
      <c r="F338" s="156"/>
    </row>
    <row r="339" spans="1:6" x14ac:dyDescent="0.3">
      <c r="A339" s="307"/>
      <c r="B339" s="293"/>
      <c r="C339" s="156"/>
      <c r="D339" s="156"/>
      <c r="E339" s="156"/>
      <c r="F339" s="156"/>
    </row>
    <row r="340" spans="1:6" x14ac:dyDescent="0.3">
      <c r="A340" s="307"/>
      <c r="B340" s="293"/>
      <c r="C340" s="156"/>
      <c r="D340" s="156"/>
      <c r="E340" s="156"/>
      <c r="F340" s="156"/>
    </row>
    <row r="341" spans="1:6" x14ac:dyDescent="0.3">
      <c r="A341" s="307"/>
      <c r="B341" s="293"/>
      <c r="C341" s="156"/>
      <c r="D341" s="156"/>
      <c r="E341" s="156"/>
      <c r="F341" s="156"/>
    </row>
    <row r="342" spans="1:6" x14ac:dyDescent="0.3">
      <c r="A342" s="307"/>
      <c r="B342" s="293"/>
      <c r="C342" s="156"/>
      <c r="D342" s="156"/>
      <c r="E342" s="156"/>
      <c r="F342" s="156"/>
    </row>
    <row r="343" spans="1:6" x14ac:dyDescent="0.3">
      <c r="A343" s="307"/>
      <c r="B343" s="293"/>
      <c r="C343" s="156"/>
      <c r="D343" s="156"/>
      <c r="E343" s="156"/>
      <c r="F343" s="156"/>
    </row>
    <row r="344" spans="1:6" x14ac:dyDescent="0.3">
      <c r="A344" s="307"/>
      <c r="B344" s="293"/>
      <c r="C344" s="156"/>
      <c r="D344" s="156"/>
      <c r="E344" s="156"/>
      <c r="F344" s="156"/>
    </row>
    <row r="345" spans="1:6" x14ac:dyDescent="0.3">
      <c r="A345" s="307"/>
      <c r="B345" s="293"/>
      <c r="C345" s="156"/>
      <c r="D345" s="156"/>
      <c r="E345" s="156"/>
      <c r="F345" s="156"/>
    </row>
    <row r="346" spans="1:6" x14ac:dyDescent="0.3">
      <c r="A346" s="307"/>
      <c r="B346" s="293"/>
      <c r="C346" s="156"/>
      <c r="D346" s="156"/>
      <c r="E346" s="156"/>
      <c r="F346" s="156"/>
    </row>
    <row r="347" spans="1:6" x14ac:dyDescent="0.3">
      <c r="A347" s="307"/>
      <c r="B347" s="293"/>
      <c r="C347" s="156"/>
      <c r="D347" s="156"/>
      <c r="E347" s="156"/>
      <c r="F347" s="156"/>
    </row>
    <row r="348" spans="1:6" x14ac:dyDescent="0.3">
      <c r="A348" s="307"/>
      <c r="B348" s="293"/>
      <c r="C348" s="156"/>
      <c r="D348" s="156"/>
      <c r="E348" s="156"/>
      <c r="F348" s="156"/>
    </row>
    <row r="349" spans="1:6" x14ac:dyDescent="0.3">
      <c r="A349" s="307"/>
      <c r="B349" s="293"/>
      <c r="C349" s="156"/>
      <c r="D349" s="156"/>
      <c r="E349" s="156"/>
      <c r="F349" s="156"/>
    </row>
    <row r="350" spans="1:6" x14ac:dyDescent="0.3">
      <c r="A350" s="307"/>
      <c r="B350" s="293"/>
      <c r="C350" s="156"/>
      <c r="D350" s="156"/>
      <c r="E350" s="156"/>
      <c r="F350" s="156"/>
    </row>
    <row r="351" spans="1:6" x14ac:dyDescent="0.3">
      <c r="A351" s="307"/>
      <c r="B351" s="293"/>
      <c r="C351" s="156"/>
      <c r="D351" s="156"/>
      <c r="E351" s="156"/>
      <c r="F351" s="156"/>
    </row>
    <row r="352" spans="1:6" x14ac:dyDescent="0.3">
      <c r="A352" s="307"/>
      <c r="B352" s="293"/>
      <c r="C352" s="156"/>
      <c r="D352" s="156"/>
      <c r="E352" s="156"/>
      <c r="F352" s="156"/>
    </row>
    <row r="353" spans="1:6" x14ac:dyDescent="0.3">
      <c r="A353" s="307"/>
      <c r="B353" s="293"/>
      <c r="C353" s="156"/>
      <c r="D353" s="156"/>
      <c r="E353" s="156"/>
      <c r="F353" s="156"/>
    </row>
    <row r="354" spans="1:6" x14ac:dyDescent="0.3">
      <c r="A354" s="307"/>
      <c r="B354" s="293"/>
      <c r="C354" s="156"/>
      <c r="D354" s="156"/>
      <c r="E354" s="156"/>
      <c r="F354" s="156"/>
    </row>
    <row r="355" spans="1:6" x14ac:dyDescent="0.3">
      <c r="A355" s="307"/>
      <c r="B355" s="293"/>
      <c r="C355" s="156"/>
      <c r="D355" s="156"/>
      <c r="E355" s="156"/>
      <c r="F355" s="156"/>
    </row>
    <row r="356" spans="1:6" x14ac:dyDescent="0.3">
      <c r="A356" s="307"/>
      <c r="B356" s="293"/>
      <c r="C356" s="156"/>
      <c r="D356" s="156"/>
      <c r="E356" s="156"/>
      <c r="F356" s="156"/>
    </row>
    <row r="357" spans="1:6" x14ac:dyDescent="0.3">
      <c r="A357" s="307"/>
      <c r="B357" s="293"/>
      <c r="C357" s="156"/>
      <c r="D357" s="156"/>
      <c r="E357" s="156"/>
      <c r="F357" s="156"/>
    </row>
    <row r="358" spans="1:6" x14ac:dyDescent="0.3">
      <c r="A358" s="307"/>
      <c r="B358" s="293"/>
      <c r="C358" s="156"/>
      <c r="D358" s="156"/>
      <c r="E358" s="156"/>
      <c r="F358" s="156"/>
    </row>
    <row r="359" spans="1:6" x14ac:dyDescent="0.3">
      <c r="A359" s="307"/>
      <c r="B359" s="293"/>
      <c r="C359" s="156"/>
      <c r="D359" s="156"/>
      <c r="E359" s="156"/>
      <c r="F359" s="156"/>
    </row>
    <row r="360" spans="1:6" x14ac:dyDescent="0.3">
      <c r="A360" s="307"/>
      <c r="B360" s="293"/>
      <c r="C360" s="156"/>
      <c r="D360" s="156"/>
      <c r="E360" s="156"/>
      <c r="F360" s="156"/>
    </row>
    <row r="361" spans="1:6" x14ac:dyDescent="0.3">
      <c r="A361" s="307"/>
      <c r="B361" s="293"/>
      <c r="C361" s="156"/>
      <c r="D361" s="156"/>
      <c r="E361" s="156"/>
      <c r="F361" s="156"/>
    </row>
    <row r="362" spans="1:6" x14ac:dyDescent="0.3">
      <c r="A362" s="307"/>
      <c r="B362" s="293"/>
      <c r="C362" s="156"/>
      <c r="D362" s="156"/>
      <c r="E362" s="156"/>
      <c r="F362" s="156"/>
    </row>
    <row r="363" spans="1:6" x14ac:dyDescent="0.3">
      <c r="A363" s="307"/>
      <c r="B363" s="293"/>
      <c r="C363" s="156"/>
      <c r="D363" s="156"/>
      <c r="E363" s="156"/>
      <c r="F363" s="156"/>
    </row>
    <row r="364" spans="1:6" x14ac:dyDescent="0.3">
      <c r="A364" s="307"/>
      <c r="B364" s="293"/>
      <c r="C364" s="156"/>
      <c r="D364" s="156"/>
      <c r="E364" s="156"/>
      <c r="F364" s="156"/>
    </row>
    <row r="365" spans="1:6" x14ac:dyDescent="0.3">
      <c r="A365" s="307"/>
      <c r="B365" s="293"/>
      <c r="C365" s="156"/>
      <c r="D365" s="156"/>
      <c r="E365" s="156"/>
      <c r="F365" s="156"/>
    </row>
    <row r="366" spans="1:6" x14ac:dyDescent="0.3">
      <c r="A366" s="307"/>
      <c r="B366" s="293"/>
      <c r="C366" s="156"/>
      <c r="D366" s="156"/>
      <c r="E366" s="156"/>
      <c r="F366" s="156"/>
    </row>
    <row r="367" spans="1:6" x14ac:dyDescent="0.3">
      <c r="A367" s="307"/>
      <c r="B367" s="293"/>
      <c r="C367" s="156"/>
      <c r="D367" s="156"/>
      <c r="E367" s="156"/>
      <c r="F367" s="156"/>
    </row>
    <row r="368" spans="1:6" x14ac:dyDescent="0.3">
      <c r="A368" s="307"/>
      <c r="B368" s="293"/>
      <c r="C368" s="156"/>
      <c r="D368" s="156"/>
      <c r="E368" s="156"/>
      <c r="F368" s="156"/>
    </row>
    <row r="369" spans="1:6" x14ac:dyDescent="0.3">
      <c r="A369" s="307"/>
      <c r="B369" s="293"/>
      <c r="C369" s="156"/>
      <c r="D369" s="156"/>
      <c r="E369" s="156"/>
      <c r="F369" s="156"/>
    </row>
    <row r="370" spans="1:6" x14ac:dyDescent="0.3">
      <c r="A370" s="307"/>
      <c r="B370" s="293"/>
      <c r="C370" s="156"/>
      <c r="D370" s="156"/>
      <c r="E370" s="156"/>
      <c r="F370" s="156"/>
    </row>
    <row r="371" spans="1:6" x14ac:dyDescent="0.3">
      <c r="A371" s="307"/>
      <c r="B371" s="293"/>
      <c r="C371" s="156"/>
      <c r="D371" s="156"/>
      <c r="E371" s="156"/>
      <c r="F371" s="156"/>
    </row>
    <row r="372" spans="1:6" x14ac:dyDescent="0.3">
      <c r="A372" s="307"/>
      <c r="B372" s="293"/>
      <c r="C372" s="156"/>
      <c r="D372" s="156"/>
      <c r="E372" s="156"/>
      <c r="F372" s="156"/>
    </row>
    <row r="373" spans="1:6" x14ac:dyDescent="0.3">
      <c r="A373" s="307"/>
      <c r="B373" s="293"/>
      <c r="C373" s="156"/>
      <c r="D373" s="156"/>
      <c r="E373" s="156"/>
      <c r="F373" s="156"/>
    </row>
    <row r="374" spans="1:6" x14ac:dyDescent="0.3">
      <c r="A374" s="307"/>
      <c r="B374" s="293"/>
      <c r="C374" s="156"/>
      <c r="D374" s="156"/>
      <c r="E374" s="156"/>
      <c r="F374" s="156"/>
    </row>
    <row r="375" spans="1:6" x14ac:dyDescent="0.3">
      <c r="A375" s="307"/>
      <c r="B375" s="293"/>
      <c r="C375" s="156"/>
      <c r="D375" s="156"/>
      <c r="E375" s="156"/>
      <c r="F375" s="156"/>
    </row>
    <row r="376" spans="1:6" x14ac:dyDescent="0.3">
      <c r="A376" s="307"/>
      <c r="B376" s="293"/>
      <c r="C376" s="156"/>
      <c r="D376" s="156"/>
      <c r="E376" s="156"/>
      <c r="F376" s="156"/>
    </row>
    <row r="377" spans="1:6" x14ac:dyDescent="0.3">
      <c r="A377" s="307"/>
      <c r="B377" s="293"/>
      <c r="C377" s="156"/>
      <c r="D377" s="156"/>
      <c r="E377" s="156"/>
      <c r="F377" s="156"/>
    </row>
    <row r="378" spans="1:6" x14ac:dyDescent="0.3">
      <c r="A378" s="307"/>
      <c r="B378" s="293"/>
      <c r="C378" s="156"/>
      <c r="D378" s="156"/>
      <c r="E378" s="156"/>
      <c r="F378" s="156"/>
    </row>
    <row r="379" spans="1:6" x14ac:dyDescent="0.3">
      <c r="A379" s="307"/>
      <c r="B379" s="293"/>
      <c r="C379" s="156"/>
      <c r="D379" s="156"/>
      <c r="E379" s="156"/>
      <c r="F379" s="156"/>
    </row>
    <row r="380" spans="1:6" x14ac:dyDescent="0.3">
      <c r="A380" s="307"/>
      <c r="B380" s="293"/>
      <c r="C380" s="156"/>
      <c r="D380" s="156"/>
      <c r="E380" s="156"/>
      <c r="F380" s="156"/>
    </row>
    <row r="381" spans="1:6" x14ac:dyDescent="0.3">
      <c r="A381" s="307"/>
      <c r="B381" s="293"/>
      <c r="C381" s="156"/>
      <c r="D381" s="156"/>
      <c r="E381" s="156"/>
      <c r="F381" s="156"/>
    </row>
    <row r="382" spans="1:6" x14ac:dyDescent="0.3">
      <c r="A382" s="307"/>
      <c r="B382" s="293"/>
      <c r="C382" s="156"/>
      <c r="D382" s="156"/>
      <c r="E382" s="156"/>
      <c r="F382" s="156"/>
    </row>
    <row r="383" spans="1:6" x14ac:dyDescent="0.3">
      <c r="A383" s="307"/>
      <c r="B383" s="293"/>
      <c r="C383" s="156"/>
      <c r="D383" s="156"/>
      <c r="E383" s="156"/>
      <c r="F383" s="156"/>
    </row>
    <row r="384" spans="1:6" x14ac:dyDescent="0.3">
      <c r="A384" s="307"/>
      <c r="B384" s="293"/>
      <c r="C384" s="156"/>
      <c r="D384" s="156"/>
      <c r="E384" s="156"/>
      <c r="F384" s="156"/>
    </row>
    <row r="385" spans="1:6" x14ac:dyDescent="0.3">
      <c r="A385" s="307"/>
      <c r="B385" s="293"/>
      <c r="C385" s="156"/>
      <c r="D385" s="156"/>
      <c r="E385" s="156"/>
      <c r="F385" s="156"/>
    </row>
    <row r="386" spans="1:6" x14ac:dyDescent="0.3">
      <c r="A386" s="307"/>
      <c r="B386" s="293"/>
      <c r="C386" s="156"/>
      <c r="D386" s="156"/>
      <c r="E386" s="156"/>
      <c r="F386" s="156"/>
    </row>
    <row r="387" spans="1:6" x14ac:dyDescent="0.3">
      <c r="A387" s="307"/>
      <c r="B387" s="293"/>
      <c r="C387" s="156"/>
      <c r="D387" s="156"/>
      <c r="E387" s="156"/>
      <c r="F387" s="156"/>
    </row>
    <row r="388" spans="1:6" x14ac:dyDescent="0.3">
      <c r="A388" s="307"/>
      <c r="B388" s="293"/>
      <c r="C388" s="156"/>
      <c r="D388" s="156"/>
      <c r="E388" s="156"/>
      <c r="F388" s="156"/>
    </row>
    <row r="389" spans="1:6" x14ac:dyDescent="0.3">
      <c r="A389" s="307"/>
      <c r="B389" s="293"/>
      <c r="C389" s="156"/>
      <c r="D389" s="156"/>
      <c r="E389" s="156"/>
      <c r="F389" s="156"/>
    </row>
    <row r="390" spans="1:6" x14ac:dyDescent="0.3">
      <c r="A390" s="307"/>
      <c r="B390" s="293"/>
      <c r="C390" s="156"/>
      <c r="D390" s="156"/>
      <c r="E390" s="156"/>
      <c r="F390" s="156"/>
    </row>
    <row r="391" spans="1:6" x14ac:dyDescent="0.3">
      <c r="A391" s="307"/>
      <c r="B391" s="293"/>
      <c r="C391" s="156"/>
      <c r="D391" s="156"/>
      <c r="E391" s="156"/>
      <c r="F391" s="156"/>
    </row>
    <row r="392" spans="1:6" x14ac:dyDescent="0.3">
      <c r="A392" s="307"/>
      <c r="B392" s="293"/>
      <c r="C392" s="156"/>
      <c r="D392" s="156"/>
      <c r="E392" s="156"/>
      <c r="F392" s="156"/>
    </row>
    <row r="393" spans="1:6" x14ac:dyDescent="0.3">
      <c r="A393" s="307"/>
      <c r="B393" s="293"/>
      <c r="C393" s="156"/>
      <c r="D393" s="156"/>
      <c r="E393" s="156"/>
      <c r="F393" s="156"/>
    </row>
    <row r="394" spans="1:6" x14ac:dyDescent="0.3">
      <c r="A394" s="307"/>
      <c r="B394" s="293"/>
      <c r="C394" s="156"/>
      <c r="D394" s="156"/>
      <c r="E394" s="156"/>
      <c r="F394" s="156"/>
    </row>
    <row r="395" spans="1:6" x14ac:dyDescent="0.3">
      <c r="A395" s="307"/>
      <c r="B395" s="293"/>
      <c r="C395" s="156"/>
      <c r="D395" s="156"/>
      <c r="E395" s="156"/>
      <c r="F395" s="156"/>
    </row>
    <row r="396" spans="1:6" x14ac:dyDescent="0.3">
      <c r="A396" s="307"/>
      <c r="B396" s="293"/>
      <c r="C396" s="156"/>
      <c r="D396" s="156"/>
      <c r="E396" s="156"/>
      <c r="F396" s="156"/>
    </row>
    <row r="397" spans="1:6" x14ac:dyDescent="0.3">
      <c r="A397" s="307"/>
      <c r="B397" s="293"/>
      <c r="C397" s="156"/>
      <c r="D397" s="156"/>
      <c r="E397" s="156"/>
      <c r="F397" s="156"/>
    </row>
    <row r="398" spans="1:6" x14ac:dyDescent="0.3">
      <c r="A398" s="307"/>
      <c r="B398" s="293"/>
      <c r="C398" s="156"/>
      <c r="D398" s="156"/>
      <c r="E398" s="156"/>
      <c r="F398" s="156"/>
    </row>
    <row r="399" spans="1:6" x14ac:dyDescent="0.3">
      <c r="A399" s="307"/>
      <c r="B399" s="293"/>
      <c r="C399" s="156"/>
      <c r="D399" s="156"/>
      <c r="E399" s="156"/>
      <c r="F399" s="156"/>
    </row>
    <row r="400" spans="1:6" x14ac:dyDescent="0.3">
      <c r="A400" s="307"/>
      <c r="B400" s="293"/>
      <c r="C400" s="156"/>
      <c r="D400" s="156"/>
      <c r="E400" s="156"/>
      <c r="F400" s="156"/>
    </row>
    <row r="401" spans="1:6" x14ac:dyDescent="0.3">
      <c r="A401" s="307"/>
      <c r="B401" s="293"/>
      <c r="C401" s="156"/>
      <c r="D401" s="156"/>
      <c r="E401" s="156"/>
      <c r="F401" s="156"/>
    </row>
    <row r="402" spans="1:6" x14ac:dyDescent="0.3">
      <c r="A402" s="307"/>
      <c r="B402" s="293"/>
      <c r="C402" s="156"/>
      <c r="D402" s="156"/>
      <c r="E402" s="156"/>
      <c r="F402" s="156"/>
    </row>
    <row r="403" spans="1:6" x14ac:dyDescent="0.3">
      <c r="A403" s="307"/>
      <c r="B403" s="293"/>
      <c r="C403" s="156"/>
      <c r="D403" s="156"/>
      <c r="E403" s="156"/>
      <c r="F403" s="156"/>
    </row>
    <row r="404" spans="1:6" x14ac:dyDescent="0.3">
      <c r="A404" s="307"/>
      <c r="B404" s="293"/>
      <c r="C404" s="156"/>
      <c r="D404" s="156"/>
      <c r="E404" s="156"/>
      <c r="F404" s="156"/>
    </row>
    <row r="405" spans="1:6" x14ac:dyDescent="0.3">
      <c r="A405" s="307"/>
      <c r="B405" s="293"/>
      <c r="C405" s="156"/>
      <c r="D405" s="156"/>
      <c r="E405" s="156"/>
      <c r="F405" s="156"/>
    </row>
    <row r="406" spans="1:6" x14ac:dyDescent="0.3">
      <c r="A406" s="307"/>
      <c r="B406" s="293"/>
      <c r="C406" s="156"/>
      <c r="D406" s="156"/>
      <c r="E406" s="156"/>
      <c r="F406" s="156"/>
    </row>
    <row r="407" spans="1:6" x14ac:dyDescent="0.3">
      <c r="A407" s="307"/>
      <c r="B407" s="293"/>
      <c r="C407" s="156"/>
      <c r="D407" s="156"/>
      <c r="E407" s="156"/>
      <c r="F407" s="156"/>
    </row>
    <row r="408" spans="1:6" x14ac:dyDescent="0.3">
      <c r="A408" s="307"/>
      <c r="B408" s="293"/>
      <c r="C408" s="156"/>
      <c r="D408" s="156"/>
      <c r="E408" s="156"/>
      <c r="F408" s="156"/>
    </row>
    <row r="409" spans="1:6" x14ac:dyDescent="0.3">
      <c r="A409" s="307"/>
      <c r="B409" s="293"/>
      <c r="C409" s="156"/>
      <c r="D409" s="156"/>
      <c r="E409" s="156"/>
      <c r="F409" s="156"/>
    </row>
    <row r="410" spans="1:6" x14ac:dyDescent="0.3">
      <c r="A410" s="307"/>
      <c r="B410" s="293"/>
      <c r="C410" s="156"/>
      <c r="D410" s="156"/>
      <c r="E410" s="156"/>
      <c r="F410" s="156"/>
    </row>
    <row r="411" spans="1:6" x14ac:dyDescent="0.3">
      <c r="A411" s="307"/>
      <c r="B411" s="293"/>
      <c r="C411" s="156"/>
      <c r="D411" s="156"/>
      <c r="E411" s="156"/>
      <c r="F411" s="156"/>
    </row>
    <row r="412" spans="1:6" x14ac:dyDescent="0.3">
      <c r="A412" s="307"/>
      <c r="B412" s="293"/>
      <c r="C412" s="156"/>
      <c r="D412" s="156"/>
      <c r="E412" s="156"/>
      <c r="F412" s="156"/>
    </row>
    <row r="413" spans="1:6" x14ac:dyDescent="0.3">
      <c r="A413" s="307"/>
      <c r="B413" s="293"/>
      <c r="C413" s="156"/>
      <c r="D413" s="156"/>
      <c r="E413" s="156"/>
      <c r="F413" s="156"/>
    </row>
    <row r="414" spans="1:6" x14ac:dyDescent="0.3">
      <c r="A414" s="307"/>
      <c r="B414" s="293"/>
      <c r="C414" s="156"/>
      <c r="D414" s="156"/>
      <c r="E414" s="156"/>
      <c r="F414" s="156"/>
    </row>
    <row r="415" spans="1:6" x14ac:dyDescent="0.3">
      <c r="A415" s="307"/>
      <c r="B415" s="293"/>
      <c r="C415" s="156"/>
      <c r="D415" s="156"/>
      <c r="E415" s="156"/>
      <c r="F415" s="156"/>
    </row>
    <row r="416" spans="1:6" x14ac:dyDescent="0.3">
      <c r="A416" s="307"/>
      <c r="B416" s="293"/>
      <c r="C416" s="156"/>
      <c r="D416" s="156"/>
      <c r="E416" s="156"/>
      <c r="F416" s="156"/>
    </row>
    <row r="417" spans="1:6" x14ac:dyDescent="0.3">
      <c r="A417" s="307"/>
      <c r="B417" s="293"/>
      <c r="C417" s="156"/>
      <c r="D417" s="156"/>
      <c r="E417" s="156"/>
      <c r="F417" s="156"/>
    </row>
    <row r="418" spans="1:6" x14ac:dyDescent="0.3">
      <c r="A418" s="307"/>
      <c r="B418" s="293"/>
      <c r="C418" s="156"/>
      <c r="D418" s="156"/>
      <c r="E418" s="156"/>
      <c r="F418" s="156"/>
    </row>
    <row r="419" spans="1:6" x14ac:dyDescent="0.3">
      <c r="A419" s="307"/>
      <c r="B419" s="293"/>
      <c r="C419" s="156"/>
      <c r="D419" s="156"/>
      <c r="E419" s="156"/>
      <c r="F419" s="156"/>
    </row>
    <row r="420" spans="1:6" x14ac:dyDescent="0.3">
      <c r="A420" s="307"/>
      <c r="B420" s="293"/>
      <c r="C420" s="156"/>
      <c r="D420" s="156"/>
      <c r="E420" s="156"/>
      <c r="F420" s="156"/>
    </row>
    <row r="421" spans="1:6" x14ac:dyDescent="0.3">
      <c r="A421" s="307"/>
      <c r="B421" s="293"/>
      <c r="C421" s="156"/>
      <c r="D421" s="156"/>
      <c r="E421" s="156"/>
      <c r="F421" s="156"/>
    </row>
    <row r="422" spans="1:6" x14ac:dyDescent="0.3">
      <c r="A422" s="307"/>
      <c r="B422" s="293"/>
      <c r="C422" s="156"/>
      <c r="D422" s="156"/>
      <c r="E422" s="156"/>
      <c r="F422" s="156"/>
    </row>
    <row r="423" spans="1:6" x14ac:dyDescent="0.3">
      <c r="A423" s="307"/>
      <c r="B423" s="293"/>
      <c r="C423" s="156"/>
      <c r="D423" s="156"/>
      <c r="E423" s="156"/>
      <c r="F423" s="156"/>
    </row>
    <row r="424" spans="1:6" x14ac:dyDescent="0.3">
      <c r="A424" s="307"/>
      <c r="B424" s="293"/>
      <c r="C424" s="156"/>
      <c r="D424" s="156"/>
      <c r="E424" s="156"/>
      <c r="F424" s="156"/>
    </row>
    <row r="425" spans="1:6" x14ac:dyDescent="0.3">
      <c r="A425" s="307"/>
      <c r="B425" s="293"/>
      <c r="C425" s="156"/>
      <c r="D425" s="156"/>
      <c r="E425" s="156"/>
      <c r="F425" s="156"/>
    </row>
    <row r="426" spans="1:6" x14ac:dyDescent="0.3">
      <c r="A426" s="307"/>
      <c r="B426" s="293"/>
      <c r="C426" s="156"/>
      <c r="D426" s="156"/>
      <c r="E426" s="156"/>
      <c r="F426" s="156"/>
    </row>
    <row r="427" spans="1:6" x14ac:dyDescent="0.3">
      <c r="A427" s="307"/>
      <c r="B427" s="293"/>
      <c r="C427" s="156"/>
      <c r="D427" s="156"/>
      <c r="E427" s="156"/>
      <c r="F427" s="156"/>
    </row>
    <row r="428" spans="1:6" x14ac:dyDescent="0.3">
      <c r="A428" s="307"/>
      <c r="B428" s="293"/>
      <c r="C428" s="156"/>
      <c r="D428" s="156"/>
      <c r="E428" s="156"/>
      <c r="F428" s="156"/>
    </row>
    <row r="429" spans="1:6" x14ac:dyDescent="0.3">
      <c r="A429" s="307"/>
      <c r="B429" s="293"/>
      <c r="C429" s="156"/>
      <c r="D429" s="156"/>
      <c r="E429" s="156"/>
      <c r="F429" s="156"/>
    </row>
    <row r="430" spans="1:6" x14ac:dyDescent="0.3">
      <c r="A430" s="307"/>
      <c r="B430" s="293"/>
      <c r="C430" s="156"/>
      <c r="D430" s="156"/>
      <c r="E430" s="156"/>
      <c r="F430" s="156"/>
    </row>
    <row r="431" spans="1:6" x14ac:dyDescent="0.3">
      <c r="A431" s="307"/>
      <c r="B431" s="293"/>
      <c r="C431" s="156"/>
      <c r="D431" s="156"/>
      <c r="E431" s="156"/>
      <c r="F431" s="156"/>
    </row>
    <row r="432" spans="1:6" x14ac:dyDescent="0.3">
      <c r="A432" s="307"/>
      <c r="B432" s="293"/>
      <c r="C432" s="156"/>
      <c r="D432" s="156"/>
      <c r="E432" s="156"/>
      <c r="F432" s="156"/>
    </row>
    <row r="433" spans="1:6" x14ac:dyDescent="0.3">
      <c r="A433" s="307"/>
      <c r="B433" s="293"/>
      <c r="C433" s="156"/>
      <c r="D433" s="156"/>
      <c r="E433" s="156"/>
      <c r="F433" s="156"/>
    </row>
    <row r="434" spans="1:6" x14ac:dyDescent="0.3">
      <c r="A434" s="307"/>
      <c r="B434" s="293"/>
      <c r="C434" s="156"/>
      <c r="D434" s="156"/>
      <c r="E434" s="156"/>
      <c r="F434" s="156"/>
    </row>
    <row r="435" spans="1:6" x14ac:dyDescent="0.3">
      <c r="A435" s="307"/>
      <c r="B435" s="293"/>
      <c r="C435" s="156"/>
      <c r="D435" s="156"/>
      <c r="E435" s="156"/>
      <c r="F435" s="156"/>
    </row>
    <row r="436" spans="1:6" x14ac:dyDescent="0.3">
      <c r="A436" s="307"/>
      <c r="B436" s="293"/>
      <c r="C436" s="156"/>
      <c r="D436" s="156"/>
      <c r="E436" s="156"/>
      <c r="F436" s="156"/>
    </row>
    <row r="437" spans="1:6" x14ac:dyDescent="0.3">
      <c r="A437" s="307"/>
      <c r="B437" s="293"/>
      <c r="C437" s="156"/>
      <c r="D437" s="156"/>
      <c r="E437" s="156"/>
      <c r="F437" s="156"/>
    </row>
    <row r="438" spans="1:6" x14ac:dyDescent="0.3">
      <c r="A438" s="307"/>
      <c r="B438" s="293"/>
      <c r="C438" s="156"/>
      <c r="D438" s="156"/>
      <c r="E438" s="156"/>
      <c r="F438" s="156"/>
    </row>
  </sheetData>
  <sheetProtection sheet="1" objects="1" scenarios="1"/>
  <mergeCells count="2">
    <mergeCell ref="B2:D2"/>
    <mergeCell ref="B3:D3"/>
  </mergeCells>
  <phoneticPr fontId="2" type="noConversion"/>
  <dataValidations count="9">
    <dataValidation allowBlank="1" showInputMessage="1" showErrorMessage="1" promptTitle="Date" prompt="Enter the date the defect was found in any valid Excel date format. A default value of today is entered when the cell is selected." sqref="A6" xr:uid="{35AAE38F-6F46-442E-8795-7D2776EEA0E8}"/>
    <dataValidation allowBlank="1" showInputMessage="1" showErrorMessage="1" promptTitle="Number" prompt="DO NOT ENTER DATA HERE. The defect number is calculated automatically." sqref="B6" xr:uid="{D2084BDE-931A-4B0E-ABD7-EE568473199E}"/>
    <dataValidation allowBlank="1" showInputMessage="1" showErrorMessage="1" promptTitle="Defect Type" prompt="Right click to select from the list of available defect types. See worksheet Defect Types to edit the list." sqref="C6" xr:uid="{C2926F90-1DF8-42D6-8823-82E0E4F38284}"/>
    <dataValidation allowBlank="1" showInputMessage="1" showErrorMessage="1" promptTitle="Assembly" prompt="Right click to select the assembly that the defect was found in." sqref="D6" xr:uid="{5FD1FAF6-76C6-4AAD-BAC3-90B28CAB0E1D}"/>
    <dataValidation allowBlank="1" showInputMessage="1" showErrorMessage="1" promptTitle="Phase Injected" prompt="Right click to select the phase where the defect was injected." sqref="E6" xr:uid="{4527DF1E-0686-4D5B-935B-3CABBABE77A9}"/>
    <dataValidation allowBlank="1" showInputMessage="1" showErrorMessage="1" promptTitle="Phase Removed" prompt="Right click to select the phase where the defect was removed." sqref="F6" xr:uid="{CA70CA7F-89EE-4784-B255-4F0CDBAD90D1}"/>
    <dataValidation allowBlank="1" showInputMessage="1" showErrorMessage="1" promptTitle="Fix Time" prompt="Enter the fix time in minutes." sqref="G6" xr:uid="{C2A59C39-D651-48C5-9DEA-6982D194E747}"/>
    <dataValidation allowBlank="1" showInputMessage="1" showErrorMessage="1" promptTitle="Fix Defect Reference" prompt="Enter a reference to an existing defect when a  new defect is injected while trying to fix an existing defect." sqref="H6" xr:uid="{DB35AECD-C97B-47FC-AC60-9BCABCEDDC05}"/>
    <dataValidation allowBlank="1" showInputMessage="1" showErrorMessage="1" sqref="B7 C7 E7 F7 G7 H7" xr:uid="{42C64942-5C5D-454B-94E9-EE3D26EA27A2}"/>
  </dataValidations>
  <printOptions gridLines="1"/>
  <pageMargins left="0.75" right="0.75" top="1" bottom="1" header="0.5" footer="0.5"/>
  <pageSetup scale="90" orientation="landscape"/>
  <headerFooter alignWithMargins="0">
    <oddFooter>&amp;L File: &amp;F ! &amp;A&amp;R&amp;D  &amp;P of &amp;N</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1256-9822-44FF-BF6A-24AF28264774}">
  <sheetPr codeName="WeekSummary"/>
  <dimension ref="A1:Z37"/>
  <sheetViews>
    <sheetView showRowColHeaders="0" zoomScaleNormal="100" workbookViewId="0">
      <pane ySplit="23" topLeftCell="A24" activePane="bottomLeft" state="frozenSplit"/>
      <selection pane="bottomLeft" activeCell="Q31" sqref="Q31"/>
    </sheetView>
  </sheetViews>
  <sheetFormatPr baseColWidth="10" defaultColWidth="9.1328125" defaultRowHeight="11.65" x14ac:dyDescent="0.35"/>
  <cols>
    <col min="1" max="1" width="20.73046875" style="80" customWidth="1"/>
    <col min="2" max="2" width="0.86328125" style="36" customWidth="1"/>
    <col min="3" max="3" width="8.73046875" style="80" customWidth="1"/>
    <col min="4" max="4" width="0.86328125" style="36" customWidth="1"/>
    <col min="5" max="5" width="32.73046875" style="80" customWidth="1"/>
    <col min="6" max="6" width="0.86328125" style="36" customWidth="1"/>
    <col min="7" max="7" width="8.73046875" style="80" customWidth="1"/>
    <col min="8" max="8" width="0.86328125" style="36" customWidth="1"/>
    <col min="9" max="9" width="8.73046875" style="84" customWidth="1"/>
    <col min="10" max="10" width="0.86328125" style="36" customWidth="1"/>
    <col min="11" max="11" width="8.73046875" style="84" customWidth="1"/>
    <col min="12" max="12" width="0.86328125" style="36" customWidth="1"/>
    <col min="13" max="13" width="8.73046875" style="84" customWidth="1"/>
    <col min="14" max="14" width="0.86328125" style="36" customWidth="1"/>
    <col min="15" max="15" width="8.73046875" style="80" customWidth="1"/>
    <col min="16" max="16" width="0.86328125" style="36" customWidth="1"/>
    <col min="17" max="17" width="8.73046875" style="149" customWidth="1"/>
    <col min="18" max="18" width="0.86328125" style="36" customWidth="1"/>
    <col min="19" max="19" width="8.73046875" style="149" customWidth="1"/>
    <col min="20" max="20" width="0.86328125" style="36" customWidth="1"/>
    <col min="21" max="21" width="8.73046875" style="149" customWidth="1"/>
    <col min="22" max="22" width="0.86328125" style="36" customWidth="1"/>
    <col min="23" max="23" width="8.73046875" style="149" customWidth="1"/>
    <col min="24" max="24" width="0.86328125" style="36" customWidth="1"/>
    <col min="25" max="25" width="8.73046875" style="149" customWidth="1"/>
    <col min="26" max="26" width="0.86328125" style="36" customWidth="1"/>
    <col min="27" max="16384" width="9.1328125" style="36"/>
  </cols>
  <sheetData>
    <row r="1" spans="1:26" ht="15" x14ac:dyDescent="0.4">
      <c r="A1" s="64" t="str">
        <f>[0]!TSPProcessName &amp; " Week Summary - Form WEEK"</f>
        <v>TSPi Week Summary - Form WEEK</v>
      </c>
      <c r="C1" s="64"/>
      <c r="E1" s="64"/>
      <c r="G1" s="64"/>
      <c r="I1" s="81"/>
      <c r="K1" s="81"/>
      <c r="M1" s="81"/>
      <c r="O1" s="36"/>
      <c r="Q1" s="143"/>
      <c r="R1" s="81"/>
      <c r="S1" s="143"/>
      <c r="T1" s="81"/>
      <c r="U1" s="143"/>
      <c r="V1" s="81"/>
      <c r="W1" s="143"/>
      <c r="X1" s="81"/>
      <c r="Y1" s="143"/>
      <c r="Z1" s="81"/>
    </row>
    <row r="2" spans="1:26" s="88" customFormat="1" ht="12.75" x14ac:dyDescent="0.35">
      <c r="A2" s="38" t="s">
        <v>312</v>
      </c>
      <c r="B2" s="183"/>
      <c r="C2" s="350" t="str">
        <f>IF(Name=0,"",Name)</f>
        <v>Isaac Diaz Perez</v>
      </c>
      <c r="D2" s="350"/>
      <c r="E2" s="350"/>
      <c r="F2" s="183"/>
      <c r="G2" s="81"/>
      <c r="H2" s="183"/>
      <c r="I2" s="81"/>
      <c r="J2" s="36"/>
      <c r="K2" s="81"/>
      <c r="L2" s="183"/>
      <c r="M2" s="124" t="s">
        <v>314</v>
      </c>
      <c r="N2" s="183"/>
      <c r="O2" s="151">
        <f ca="1">currentDate</f>
        <v>46182</v>
      </c>
      <c r="P2" s="183"/>
      <c r="Q2" s="143"/>
      <c r="R2" s="183"/>
      <c r="S2" s="143"/>
      <c r="T2" s="81"/>
      <c r="U2" s="143"/>
      <c r="V2" s="81"/>
      <c r="W2" s="143"/>
      <c r="X2" s="81"/>
      <c r="Y2" s="143"/>
      <c r="Z2" s="183"/>
    </row>
    <row r="3" spans="1:26" s="88" customFormat="1" ht="12.75" x14ac:dyDescent="0.35">
      <c r="A3" s="38" t="s">
        <v>14</v>
      </c>
      <c r="B3" s="183"/>
      <c r="C3" s="353" t="str">
        <f>IF(TeamName=0,"",TeamName)</f>
        <v>TSP-GRUPO B02-SUBGRUPO 3</v>
      </c>
      <c r="D3" s="353"/>
      <c r="E3" s="353"/>
      <c r="F3" s="183"/>
      <c r="G3" s="81"/>
      <c r="H3" s="183"/>
      <c r="I3" s="81"/>
      <c r="J3" s="36"/>
      <c r="K3" s="81"/>
      <c r="L3" s="183"/>
      <c r="M3" s="124" t="str">
        <f>IF(Project!C5&lt;&gt;"",Project!C5,"")</f>
        <v>Instructor</v>
      </c>
      <c r="N3" s="183"/>
      <c r="O3" s="39" t="str">
        <f>IF(InstructorName=0,"",InstructorName)</f>
        <v>Natalia Martinez Rojas</v>
      </c>
      <c r="P3" s="183"/>
      <c r="Q3" s="143"/>
      <c r="R3" s="183"/>
      <c r="S3" s="143"/>
      <c r="T3" s="81"/>
      <c r="U3" s="143"/>
      <c r="V3" s="81"/>
      <c r="W3" s="143"/>
      <c r="X3" s="81"/>
      <c r="Y3" s="143"/>
      <c r="Z3" s="183"/>
    </row>
    <row r="4" spans="1:26" s="88" customFormat="1" ht="15.75" customHeight="1" x14ac:dyDescent="0.35">
      <c r="A4" s="38" t="s">
        <v>605</v>
      </c>
      <c r="B4" s="183"/>
      <c r="C4" s="136">
        <v>0</v>
      </c>
      <c r="D4" s="183"/>
      <c r="E4" s="41" t="s">
        <v>606</v>
      </c>
      <c r="F4" s="183"/>
      <c r="G4" s="81"/>
      <c r="H4" s="183"/>
      <c r="I4" s="81"/>
      <c r="J4" s="183"/>
      <c r="K4" s="309"/>
      <c r="L4" s="183"/>
      <c r="M4" s="124" t="s">
        <v>327</v>
      </c>
      <c r="N4" s="183"/>
      <c r="O4" s="63">
        <f>IF(Cycle=0,"",Cycle)</f>
        <v>1</v>
      </c>
      <c r="P4" s="183"/>
      <c r="Q4" s="143"/>
      <c r="R4" s="183"/>
      <c r="S4" s="143"/>
      <c r="T4" s="81"/>
      <c r="U4" s="143"/>
      <c r="V4" s="81"/>
      <c r="W4" s="143"/>
      <c r="X4" s="81"/>
      <c r="Y4" s="143"/>
      <c r="Z4" s="183"/>
    </row>
    <row r="5" spans="1:26" ht="13.15" x14ac:dyDescent="0.4">
      <c r="A5" s="87" t="s">
        <v>607</v>
      </c>
      <c r="B5" s="310"/>
      <c r="C5" s="150">
        <v>46148</v>
      </c>
      <c r="D5" s="310"/>
      <c r="E5" s="39" t="s">
        <v>493</v>
      </c>
      <c r="F5" s="183"/>
      <c r="G5" s="81"/>
      <c r="H5" s="310"/>
      <c r="I5" s="310"/>
      <c r="J5" s="310"/>
      <c r="K5" s="81"/>
      <c r="M5" s="82"/>
      <c r="O5" s="41"/>
      <c r="Q5" s="145"/>
      <c r="S5" s="143"/>
      <c r="T5" s="81"/>
      <c r="U5" s="143"/>
      <c r="V5" s="81"/>
      <c r="W5" s="143"/>
      <c r="X5" s="81"/>
      <c r="Y5" s="143"/>
    </row>
    <row r="6" spans="1:26" ht="24" customHeight="1" x14ac:dyDescent="0.35">
      <c r="A6" s="38" t="s">
        <v>608</v>
      </c>
      <c r="C6" s="40"/>
      <c r="E6" s="38" t="s">
        <v>609</v>
      </c>
      <c r="F6" s="40"/>
      <c r="G6" s="82" t="s">
        <v>306</v>
      </c>
      <c r="I6" s="41" t="s">
        <v>307</v>
      </c>
      <c r="K6" s="83" t="s">
        <v>610</v>
      </c>
      <c r="M6" s="83" t="s">
        <v>611</v>
      </c>
      <c r="O6" s="360" t="s">
        <v>612</v>
      </c>
      <c r="P6" s="360"/>
      <c r="Q6" s="360"/>
      <c r="S6" s="143"/>
      <c r="T6" s="81"/>
      <c r="U6" s="143"/>
      <c r="V6" s="81"/>
      <c r="W6" s="143"/>
      <c r="X6" s="81"/>
      <c r="Y6" s="143"/>
    </row>
    <row r="7" spans="1:26" x14ac:dyDescent="0.35">
      <c r="A7" s="120" t="s">
        <v>613</v>
      </c>
      <c r="C7" s="55">
        <v>0</v>
      </c>
      <c r="E7" s="120" t="s">
        <v>614</v>
      </c>
      <c r="F7" s="42"/>
      <c r="G7" s="55">
        <v>0</v>
      </c>
      <c r="I7" s="55">
        <v>0</v>
      </c>
      <c r="K7" s="60" t="str">
        <f t="shared" ref="K7:K12" si="0">IF(I7&lt;&gt;0,G7/I7,"")</f>
        <v/>
      </c>
      <c r="M7" s="55">
        <f>G7-I7</f>
        <v>0</v>
      </c>
      <c r="O7" s="120" t="s">
        <v>613</v>
      </c>
      <c r="Q7" s="148">
        <v>0</v>
      </c>
      <c r="S7" s="143"/>
      <c r="T7" s="81"/>
      <c r="U7" s="143"/>
      <c r="V7" s="81"/>
      <c r="W7" s="143"/>
      <c r="X7" s="81"/>
      <c r="Y7" s="143"/>
    </row>
    <row r="8" spans="1:26" x14ac:dyDescent="0.35">
      <c r="A8" s="120" t="s">
        <v>615</v>
      </c>
      <c r="C8" s="55">
        <v>0</v>
      </c>
      <c r="E8" s="120" t="s">
        <v>616</v>
      </c>
      <c r="F8" s="42"/>
      <c r="G8" s="55">
        <v>0</v>
      </c>
      <c r="I8" s="55">
        <v>0</v>
      </c>
      <c r="K8" s="60" t="str">
        <f t="shared" si="0"/>
        <v/>
      </c>
      <c r="M8" s="55">
        <f>G8-I8</f>
        <v>0</v>
      </c>
      <c r="O8" s="120" t="s">
        <v>306</v>
      </c>
      <c r="Q8" s="148">
        <v>0</v>
      </c>
      <c r="S8" s="143"/>
      <c r="T8" s="81"/>
      <c r="U8" s="143"/>
      <c r="V8" s="81"/>
      <c r="W8" s="143"/>
      <c r="X8" s="81"/>
      <c r="Y8" s="143"/>
    </row>
    <row r="9" spans="1:26" x14ac:dyDescent="0.35">
      <c r="A9" s="120" t="s">
        <v>617</v>
      </c>
      <c r="C9" s="50" t="str">
        <f>IF(C7&lt;&gt;0,(C8-C7)/C7,"")</f>
        <v/>
      </c>
      <c r="E9" s="120" t="s">
        <v>618</v>
      </c>
      <c r="F9" s="42"/>
      <c r="G9" s="55">
        <v>0</v>
      </c>
      <c r="I9" s="55">
        <v>0</v>
      </c>
      <c r="K9" s="60" t="str">
        <f t="shared" si="0"/>
        <v/>
      </c>
      <c r="M9" s="55">
        <f>G9-I9</f>
        <v>0</v>
      </c>
      <c r="O9" s="120" t="s">
        <v>619</v>
      </c>
      <c r="Q9" s="148"/>
      <c r="S9" s="143"/>
      <c r="T9" s="81"/>
      <c r="U9" s="143"/>
      <c r="V9" s="81"/>
      <c r="W9" s="143"/>
      <c r="X9" s="81"/>
      <c r="Y9" s="143"/>
    </row>
    <row r="10" spans="1:26" x14ac:dyDescent="0.35">
      <c r="A10" s="120"/>
      <c r="B10" s="120"/>
      <c r="C10" s="120"/>
      <c r="E10" s="120" t="s">
        <v>620</v>
      </c>
      <c r="F10" s="42"/>
      <c r="G10" s="55">
        <v>0</v>
      </c>
      <c r="I10" s="55">
        <v>0</v>
      </c>
      <c r="K10" s="60" t="str">
        <f t="shared" si="0"/>
        <v/>
      </c>
      <c r="M10" s="55">
        <f>G10-I10</f>
        <v>0</v>
      </c>
      <c r="O10" s="41"/>
      <c r="Q10" s="145"/>
      <c r="S10" s="143"/>
      <c r="T10" s="81"/>
      <c r="U10" s="143"/>
      <c r="V10" s="81"/>
      <c r="W10" s="143"/>
      <c r="X10" s="81"/>
      <c r="Y10" s="143"/>
    </row>
    <row r="11" spans="1:26" x14ac:dyDescent="0.35">
      <c r="A11" s="120"/>
      <c r="B11" s="120"/>
      <c r="C11" s="120"/>
      <c r="E11" s="120" t="s">
        <v>621</v>
      </c>
      <c r="F11" s="42"/>
      <c r="G11" s="55">
        <v>0</v>
      </c>
      <c r="I11" s="55">
        <v>0</v>
      </c>
      <c r="K11" s="60" t="str">
        <f t="shared" si="0"/>
        <v/>
      </c>
      <c r="M11" s="82"/>
      <c r="O11" s="41"/>
      <c r="Q11" s="145"/>
      <c r="S11" s="143"/>
      <c r="T11" s="81"/>
      <c r="U11" s="143"/>
      <c r="V11" s="81"/>
      <c r="W11" s="143"/>
      <c r="X11" s="81"/>
      <c r="Y11" s="143"/>
    </row>
    <row r="12" spans="1:26" x14ac:dyDescent="0.35">
      <c r="A12" s="120"/>
      <c r="B12" s="120"/>
      <c r="C12" s="120"/>
      <c r="E12" s="120" t="s">
        <v>622</v>
      </c>
      <c r="G12" s="84" t="e">
        <f>G8/theWeekToShow</f>
        <v>#DIV/0!</v>
      </c>
      <c r="I12" s="84" t="e">
        <f>I8/theWeekToShow</f>
        <v>#DIV/0!</v>
      </c>
      <c r="K12" s="122" t="e">
        <f t="shared" si="0"/>
        <v>#DIV/0!</v>
      </c>
      <c r="M12" s="82"/>
      <c r="O12" s="41"/>
      <c r="Q12" s="145"/>
      <c r="S12" s="143"/>
      <c r="T12" s="81"/>
      <c r="U12" s="143"/>
      <c r="V12" s="81"/>
      <c r="W12" s="143"/>
      <c r="X12" s="81"/>
      <c r="Y12" s="143"/>
    </row>
    <row r="13" spans="1:26" x14ac:dyDescent="0.35">
      <c r="A13" s="36"/>
      <c r="C13" s="36"/>
      <c r="E13" s="120" t="s">
        <v>623</v>
      </c>
      <c r="G13" s="132" t="str">
        <f>IF(G11&lt;&gt;0,I10/G11,"")</f>
        <v/>
      </c>
      <c r="I13" s="132" t="str">
        <f>IF(I11&lt;&gt;0,I10/I11,"")</f>
        <v/>
      </c>
      <c r="K13" s="81"/>
      <c r="M13" s="81"/>
      <c r="O13" s="36"/>
      <c r="Q13" s="143"/>
      <c r="S13" s="143"/>
      <c r="T13" s="81"/>
      <c r="U13" s="143"/>
      <c r="V13" s="81"/>
      <c r="W13" s="143"/>
      <c r="X13" s="81"/>
      <c r="Y13" s="143"/>
    </row>
    <row r="14" spans="1:26" ht="23.25" x14ac:dyDescent="0.35">
      <c r="A14" s="40"/>
      <c r="C14" s="40"/>
      <c r="E14" s="40" t="s">
        <v>624</v>
      </c>
      <c r="G14" s="40"/>
      <c r="I14" s="83" t="s">
        <v>518</v>
      </c>
      <c r="K14" s="83" t="s">
        <v>521</v>
      </c>
      <c r="M14" s="83" t="s">
        <v>528</v>
      </c>
      <c r="O14" s="79" t="s">
        <v>524</v>
      </c>
      <c r="Q14" s="143"/>
    </row>
    <row r="15" spans="1:26" x14ac:dyDescent="0.35">
      <c r="A15" s="42"/>
      <c r="C15" s="42"/>
      <c r="E15" s="42" t="str">
        <f>Roles!A2</f>
        <v>Team Leader</v>
      </c>
      <c r="G15" s="42"/>
      <c r="I15" s="55"/>
      <c r="K15" s="55"/>
      <c r="M15" s="55"/>
      <c r="O15" s="55"/>
      <c r="Q15" s="143"/>
    </row>
    <row r="16" spans="1:26" x14ac:dyDescent="0.35">
      <c r="A16" s="42"/>
      <c r="C16" s="42"/>
      <c r="E16" s="42" t="str">
        <f>Roles!A4</f>
        <v>Development Manager</v>
      </c>
      <c r="G16" s="42"/>
      <c r="I16" s="55"/>
      <c r="K16" s="55"/>
      <c r="M16" s="55"/>
      <c r="O16" s="55"/>
      <c r="Q16" s="143"/>
    </row>
    <row r="17" spans="1:25" x14ac:dyDescent="0.35">
      <c r="A17" s="42"/>
      <c r="C17" s="42"/>
      <c r="E17" s="42" t="str">
        <f>Roles!A6</f>
        <v>Planning Manager</v>
      </c>
      <c r="G17" s="42"/>
      <c r="I17" s="55"/>
      <c r="K17" s="55"/>
      <c r="M17" s="55"/>
      <c r="O17" s="55"/>
      <c r="Q17" s="143"/>
    </row>
    <row r="18" spans="1:25" x14ac:dyDescent="0.35">
      <c r="A18" s="42"/>
      <c r="C18" s="42"/>
      <c r="E18" s="42" t="str">
        <f>Roles!A8</f>
        <v>Quality/Process Manager</v>
      </c>
      <c r="G18" s="42"/>
      <c r="I18" s="55"/>
      <c r="K18" s="55"/>
      <c r="M18" s="55"/>
      <c r="O18" s="55"/>
      <c r="Q18" s="143"/>
    </row>
    <row r="19" spans="1:25" x14ac:dyDescent="0.35">
      <c r="A19" s="42"/>
      <c r="C19" s="42"/>
      <c r="E19" s="42" t="str">
        <f>Roles!A10</f>
        <v>Support Manager</v>
      </c>
      <c r="G19" s="42"/>
      <c r="I19" s="55"/>
      <c r="K19" s="55"/>
      <c r="M19" s="55"/>
      <c r="O19" s="55"/>
      <c r="Q19" s="143"/>
    </row>
    <row r="20" spans="1:25" x14ac:dyDescent="0.35">
      <c r="A20" s="42"/>
      <c r="C20" s="42"/>
      <c r="E20" s="42" t="str">
        <f>IF(Roles!A20&lt;&gt;"",Roles!A20,"")</f>
        <v/>
      </c>
      <c r="G20" s="42"/>
      <c r="I20" s="55"/>
      <c r="K20" s="55"/>
      <c r="M20" s="55"/>
      <c r="O20" s="55"/>
      <c r="Q20" s="143"/>
    </row>
    <row r="21" spans="1:25" x14ac:dyDescent="0.35">
      <c r="A21" s="36"/>
      <c r="C21" s="36"/>
      <c r="E21" s="36" t="s">
        <v>625</v>
      </c>
      <c r="G21" s="36"/>
      <c r="I21" s="55">
        <f>SUM(I15:I20)</f>
        <v>0</v>
      </c>
      <c r="K21" s="55">
        <f>SUM(K15:K20)</f>
        <v>0</v>
      </c>
      <c r="M21" s="55">
        <f>SUM(M15:M20)</f>
        <v>0</v>
      </c>
      <c r="O21" s="55">
        <f>SUM(O15:O20)</f>
        <v>0</v>
      </c>
      <c r="Q21" s="143"/>
    </row>
    <row r="22" spans="1:25" x14ac:dyDescent="0.35">
      <c r="A22" s="44"/>
      <c r="B22" s="44"/>
      <c r="C22" s="44"/>
      <c r="D22" s="44"/>
      <c r="E22" s="44"/>
      <c r="F22" s="44"/>
      <c r="G22" s="44"/>
      <c r="H22" s="44"/>
      <c r="I22" s="126"/>
      <c r="J22" s="44"/>
      <c r="K22" s="126"/>
      <c r="L22" s="44"/>
      <c r="M22" s="126"/>
      <c r="N22" s="44"/>
      <c r="O22" s="126"/>
      <c r="P22" s="44"/>
      <c r="Q22" s="146"/>
      <c r="R22" s="127"/>
      <c r="S22" s="146"/>
      <c r="T22" s="127"/>
      <c r="U22" s="146"/>
      <c r="V22" s="127"/>
      <c r="W22" s="146"/>
      <c r="X22" s="127"/>
      <c r="Y22" s="146"/>
    </row>
    <row r="23" spans="1:25" s="125" customFormat="1" ht="54" customHeight="1" x14ac:dyDescent="0.35">
      <c r="A23" s="79" t="s">
        <v>626</v>
      </c>
      <c r="C23" s="79" t="s">
        <v>308</v>
      </c>
      <c r="E23" s="79" t="s">
        <v>30</v>
      </c>
      <c r="G23" s="79" t="s">
        <v>627</v>
      </c>
      <c r="I23" s="134" t="s">
        <v>628</v>
      </c>
      <c r="J23" s="133"/>
      <c r="K23" s="134" t="s">
        <v>629</v>
      </c>
      <c r="L23" s="133"/>
      <c r="M23" s="134" t="s">
        <v>630</v>
      </c>
      <c r="N23" s="133"/>
      <c r="O23" s="134" t="s">
        <v>631</v>
      </c>
      <c r="P23" s="133"/>
      <c r="Q23" s="147" t="s">
        <v>632</v>
      </c>
      <c r="R23" s="133"/>
      <c r="S23" s="147" t="s">
        <v>519</v>
      </c>
      <c r="T23" s="133"/>
      <c r="U23" s="147" t="s">
        <v>633</v>
      </c>
      <c r="V23" s="133"/>
      <c r="W23" s="147" t="s">
        <v>529</v>
      </c>
      <c r="Y23" s="147" t="s">
        <v>522</v>
      </c>
    </row>
    <row r="24" spans="1:25" x14ac:dyDescent="0.35">
      <c r="A24" s="39"/>
      <c r="C24" s="39"/>
      <c r="E24" s="39"/>
      <c r="G24" s="39"/>
      <c r="I24" s="55"/>
      <c r="K24" s="55"/>
      <c r="M24" s="55"/>
      <c r="O24" s="39"/>
      <c r="Q24" s="148"/>
    </row>
    <row r="25" spans="1:25" x14ac:dyDescent="0.35">
      <c r="O25" s="122"/>
    </row>
    <row r="26" spans="1:25" x14ac:dyDescent="0.35">
      <c r="G26" s="135"/>
      <c r="O26" s="122"/>
    </row>
    <row r="27" spans="1:25" x14ac:dyDescent="0.35">
      <c r="G27" s="135"/>
    </row>
    <row r="28" spans="1:25" x14ac:dyDescent="0.35">
      <c r="G28" s="135"/>
      <c r="O28" s="122"/>
    </row>
    <row r="29" spans="1:25" x14ac:dyDescent="0.35">
      <c r="G29" s="135"/>
      <c r="O29" s="122"/>
    </row>
    <row r="30" spans="1:25" x14ac:dyDescent="0.35">
      <c r="G30" s="135"/>
      <c r="O30" s="122"/>
    </row>
    <row r="31" spans="1:25" x14ac:dyDescent="0.35">
      <c r="G31" s="135"/>
    </row>
    <row r="32" spans="1:25" x14ac:dyDescent="0.35">
      <c r="G32" s="135"/>
      <c r="O32" s="122"/>
    </row>
    <row r="33" spans="7:15" x14ac:dyDescent="0.35">
      <c r="G33" s="135"/>
      <c r="O33" s="122"/>
    </row>
    <row r="34" spans="7:15" x14ac:dyDescent="0.35">
      <c r="G34" s="135"/>
    </row>
    <row r="35" spans="7:15" x14ac:dyDescent="0.35">
      <c r="G35" s="135"/>
    </row>
    <row r="36" spans="7:15" x14ac:dyDescent="0.35">
      <c r="G36" s="135"/>
    </row>
    <row r="37" spans="7:15" x14ac:dyDescent="0.35">
      <c r="G37" s="135"/>
    </row>
  </sheetData>
  <mergeCells count="3">
    <mergeCell ref="C2:E2"/>
    <mergeCell ref="C3:E3"/>
    <mergeCell ref="O6:Q6"/>
  </mergeCells>
  <phoneticPr fontId="2" type="noConversion"/>
  <pageMargins left="0.75" right="0.75" top="1" bottom="1" header="0.5" footer="0.5"/>
  <pageSetup scale="75" orientation="landscape"/>
  <headerFooter alignWithMargins="0">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5571" r:id="rId3" name="weekSelector">
              <controlPr defaultSize="0" autoPict="0" macro="[0]!WeekSummary.weekSelector_Change">
                <anchor moveWithCells="1" sizeWithCells="1">
                  <from>
                    <xdr:col>1</xdr:col>
                    <xdr:colOff>52388</xdr:colOff>
                    <xdr:row>3</xdr:row>
                    <xdr:rowOff>14288</xdr:rowOff>
                  </from>
                  <to>
                    <xdr:col>2</xdr:col>
                    <xdr:colOff>133350</xdr:colOff>
                    <xdr:row>4</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74C8E-9053-4245-B143-E761104D3329}">
  <sheetPr codeName="IRTL"/>
  <dimension ref="A1:K66"/>
  <sheetViews>
    <sheetView showRowColHeaders="0" workbookViewId="0">
      <pane ySplit="6" topLeftCell="A7" activePane="bottomLeft" state="frozenSplit"/>
      <selection pane="bottomLeft" activeCell="A7" sqref="A7"/>
    </sheetView>
  </sheetViews>
  <sheetFormatPr baseColWidth="10" defaultColWidth="9.1328125" defaultRowHeight="10.15" x14ac:dyDescent="0.3"/>
  <cols>
    <col min="1" max="1" width="6.73046875" style="115" customWidth="1"/>
    <col min="2" max="2" width="4.73046875" style="107" customWidth="1"/>
    <col min="3" max="3" width="7.73046875" style="107" customWidth="1"/>
    <col min="4" max="6" width="4.73046875" style="107" customWidth="1"/>
    <col min="7" max="7" width="5.86328125" style="107" bestFit="1" customWidth="1"/>
    <col min="8" max="8" width="8.265625" style="107" customWidth="1"/>
    <col min="9" max="10" width="32.73046875" style="46" customWidth="1"/>
    <col min="11" max="11" width="8.265625" style="107" customWidth="1"/>
    <col min="12" max="12" width="1.73046875" style="4" customWidth="1"/>
    <col min="13" max="16384" width="9.1328125" style="4"/>
  </cols>
  <sheetData>
    <row r="1" spans="1:11" ht="15" x14ac:dyDescent="0.4">
      <c r="A1" s="108" t="str">
        <f>[0]!TSPProcessName &amp; " Issue/Risk Tracking Log - Form IRTL"</f>
        <v>TSPi Issue/Risk Tracking Log - Form IRTL</v>
      </c>
      <c r="B1" s="164"/>
      <c r="C1" s="164"/>
      <c r="D1" s="164"/>
      <c r="E1" s="164"/>
      <c r="F1" s="164"/>
      <c r="G1" s="164"/>
      <c r="H1" s="164"/>
      <c r="I1" s="311"/>
      <c r="J1" s="311"/>
      <c r="K1" s="164"/>
    </row>
    <row r="2" spans="1:11" ht="11.65" x14ac:dyDescent="0.35">
      <c r="A2" s="109" t="s">
        <v>312</v>
      </c>
      <c r="B2" s="361" t="str">
        <f>IF(Name=0,"",Name)</f>
        <v>Isaac Diaz Perez</v>
      </c>
      <c r="C2" s="361"/>
      <c r="D2" s="361"/>
      <c r="E2" s="361"/>
      <c r="F2" s="361"/>
      <c r="G2" s="38" t="s">
        <v>314</v>
      </c>
      <c r="H2" s="312">
        <f ca="1">currentDate</f>
        <v>46182</v>
      </c>
      <c r="I2" s="311"/>
      <c r="J2" s="311"/>
      <c r="K2" s="164"/>
    </row>
    <row r="3" spans="1:11" ht="11.65" x14ac:dyDescent="0.35">
      <c r="A3" s="109" t="s">
        <v>14</v>
      </c>
      <c r="B3" s="362" t="str">
        <f>IF(TeamName=0,"",TeamName)</f>
        <v>TSP-GRUPO B02-SUBGRUPO 3</v>
      </c>
      <c r="C3" s="362"/>
      <c r="D3" s="362"/>
      <c r="E3" s="362"/>
      <c r="F3" s="362"/>
      <c r="G3" s="38" t="str">
        <f>IF(Project!C5&lt;&gt;"",Project!C5,"")</f>
        <v>Instructor</v>
      </c>
      <c r="H3" s="314" t="str">
        <f>IF(InstructorName=0,"",InstructorName)</f>
        <v>Natalia Martinez Rojas</v>
      </c>
      <c r="I3" s="311"/>
      <c r="J3" s="311"/>
      <c r="K3" s="164"/>
    </row>
    <row r="4" spans="1:11" ht="11.65" x14ac:dyDescent="0.35">
      <c r="A4" s="110"/>
      <c r="B4" s="164"/>
      <c r="C4" s="164"/>
      <c r="D4" s="164"/>
      <c r="E4" s="164"/>
      <c r="F4" s="164"/>
      <c r="G4" s="38" t="s">
        <v>327</v>
      </c>
      <c r="H4" s="246">
        <f>IF(Cycle=0,"",Cycle)</f>
        <v>1</v>
      </c>
      <c r="I4" s="311"/>
      <c r="J4" s="311"/>
      <c r="K4" s="164"/>
    </row>
    <row r="5" spans="1:11" x14ac:dyDescent="0.3">
      <c r="A5" s="315"/>
      <c r="B5" s="164"/>
      <c r="C5" s="164"/>
      <c r="D5" s="164"/>
      <c r="E5" s="164"/>
      <c r="F5" s="164"/>
      <c r="G5" s="164"/>
      <c r="H5" s="164"/>
      <c r="I5" s="311"/>
      <c r="J5" s="311"/>
      <c r="K5" s="164"/>
    </row>
    <row r="6" spans="1:11" ht="47.25" customHeight="1" x14ac:dyDescent="0.3">
      <c r="A6" s="316" t="s">
        <v>634</v>
      </c>
      <c r="B6" s="257" t="s">
        <v>635</v>
      </c>
      <c r="C6" s="316" t="s">
        <v>636</v>
      </c>
      <c r="D6" s="257" t="s">
        <v>637</v>
      </c>
      <c r="E6" s="257" t="s">
        <v>638</v>
      </c>
      <c r="F6" s="257" t="s">
        <v>639</v>
      </c>
      <c r="G6" s="192" t="s">
        <v>479</v>
      </c>
      <c r="H6" s="192" t="s">
        <v>640</v>
      </c>
      <c r="I6" s="192" t="s">
        <v>2</v>
      </c>
      <c r="J6" s="192" t="s">
        <v>641</v>
      </c>
      <c r="K6" s="192" t="s">
        <v>642</v>
      </c>
    </row>
    <row r="7" spans="1:11" x14ac:dyDescent="0.3">
      <c r="A7" s="317"/>
      <c r="B7" s="318"/>
      <c r="C7" s="319"/>
      <c r="D7" s="320"/>
      <c r="E7" s="320"/>
      <c r="F7" s="320"/>
      <c r="G7" s="320"/>
      <c r="H7" s="319"/>
      <c r="I7" s="158"/>
      <c r="J7" s="158"/>
      <c r="K7" s="319"/>
    </row>
    <row r="8" spans="1:11" x14ac:dyDescent="0.3">
      <c r="A8" s="317"/>
      <c r="B8" s="318"/>
      <c r="C8" s="319"/>
      <c r="D8" s="320"/>
      <c r="E8" s="320"/>
      <c r="F8" s="320"/>
      <c r="G8" s="320"/>
      <c r="H8" s="319"/>
      <c r="I8" s="158"/>
      <c r="J8" s="158"/>
      <c r="K8" s="319"/>
    </row>
    <row r="9" spans="1:11" x14ac:dyDescent="0.3">
      <c r="A9" s="317"/>
      <c r="B9" s="318"/>
      <c r="C9" s="319"/>
      <c r="D9" s="320"/>
      <c r="E9" s="320"/>
      <c r="F9" s="320"/>
      <c r="G9" s="320"/>
      <c r="H9" s="319"/>
      <c r="I9" s="158"/>
      <c r="J9" s="158"/>
      <c r="K9" s="319"/>
    </row>
    <row r="10" spans="1:11" x14ac:dyDescent="0.3">
      <c r="A10" s="317"/>
      <c r="B10" s="318"/>
      <c r="C10" s="319"/>
      <c r="D10" s="320"/>
      <c r="E10" s="320"/>
      <c r="F10" s="320"/>
      <c r="G10" s="320"/>
      <c r="H10" s="319"/>
      <c r="I10" s="158"/>
      <c r="J10" s="158"/>
      <c r="K10" s="319"/>
    </row>
    <row r="11" spans="1:11" x14ac:dyDescent="0.3">
      <c r="A11" s="317"/>
      <c r="B11" s="318"/>
      <c r="C11" s="319"/>
      <c r="D11" s="320"/>
      <c r="E11" s="320"/>
      <c r="F11" s="320"/>
      <c r="G11" s="320"/>
      <c r="H11" s="319"/>
      <c r="I11" s="158"/>
      <c r="J11" s="158"/>
      <c r="K11" s="319"/>
    </row>
    <row r="12" spans="1:11" x14ac:dyDescent="0.3">
      <c r="A12" s="317"/>
      <c r="B12" s="318"/>
      <c r="C12" s="319"/>
      <c r="D12" s="320"/>
      <c r="E12" s="320"/>
      <c r="F12" s="320"/>
      <c r="G12" s="320"/>
      <c r="H12" s="319"/>
      <c r="I12" s="158"/>
      <c r="J12" s="158"/>
      <c r="K12" s="319"/>
    </row>
    <row r="13" spans="1:11" x14ac:dyDescent="0.3">
      <c r="A13" s="317"/>
      <c r="B13" s="318"/>
      <c r="C13" s="319"/>
      <c r="D13" s="320"/>
      <c r="E13" s="320"/>
      <c r="F13" s="320"/>
      <c r="G13" s="320"/>
      <c r="H13" s="319"/>
      <c r="I13" s="158"/>
      <c r="J13" s="158"/>
      <c r="K13" s="319"/>
    </row>
    <row r="14" spans="1:11" x14ac:dyDescent="0.3">
      <c r="A14" s="317"/>
      <c r="B14" s="318"/>
      <c r="C14" s="319"/>
      <c r="D14" s="320"/>
      <c r="E14" s="320"/>
      <c r="F14" s="320"/>
      <c r="G14" s="320"/>
      <c r="H14" s="319"/>
      <c r="I14" s="158"/>
      <c r="J14" s="158"/>
      <c r="K14" s="319"/>
    </row>
    <row r="15" spans="1:11" x14ac:dyDescent="0.3">
      <c r="A15" s="317"/>
      <c r="B15" s="318"/>
      <c r="C15" s="319"/>
      <c r="D15" s="320"/>
      <c r="E15" s="320"/>
      <c r="F15" s="320"/>
      <c r="G15" s="320"/>
      <c r="H15" s="319"/>
      <c r="I15" s="158"/>
      <c r="J15" s="158"/>
      <c r="K15" s="319"/>
    </row>
    <row r="16" spans="1:11" x14ac:dyDescent="0.3">
      <c r="A16" s="317"/>
      <c r="B16" s="318"/>
      <c r="C16" s="319"/>
      <c r="D16" s="320"/>
      <c r="E16" s="320"/>
      <c r="F16" s="320"/>
      <c r="G16" s="320"/>
      <c r="H16" s="319"/>
      <c r="I16" s="158"/>
      <c r="J16" s="158"/>
      <c r="K16" s="319"/>
    </row>
    <row r="17" spans="2:11" x14ac:dyDescent="0.3">
      <c r="B17" s="318"/>
      <c r="C17" s="319"/>
      <c r="D17" s="320"/>
      <c r="E17" s="320"/>
      <c r="F17" s="320"/>
      <c r="G17" s="320"/>
      <c r="H17" s="319"/>
      <c r="I17" s="158"/>
      <c r="J17" s="158"/>
      <c r="K17" s="319"/>
    </row>
    <row r="18" spans="2:11" x14ac:dyDescent="0.3">
      <c r="B18" s="318"/>
      <c r="C18" s="319"/>
      <c r="D18" s="320"/>
      <c r="E18" s="320"/>
      <c r="F18" s="320"/>
      <c r="G18" s="320"/>
      <c r="H18" s="319"/>
      <c r="I18" s="158"/>
      <c r="J18" s="158"/>
      <c r="K18" s="319"/>
    </row>
    <row r="19" spans="2:11" x14ac:dyDescent="0.3">
      <c r="B19" s="318"/>
      <c r="C19" s="319"/>
      <c r="D19" s="320"/>
      <c r="E19" s="320"/>
      <c r="F19" s="320"/>
      <c r="G19" s="320"/>
      <c r="H19" s="319"/>
      <c r="I19" s="158"/>
      <c r="J19" s="158"/>
      <c r="K19" s="319"/>
    </row>
    <row r="20" spans="2:11" x14ac:dyDescent="0.3">
      <c r="B20" s="318"/>
      <c r="C20" s="319"/>
      <c r="D20" s="320"/>
      <c r="E20" s="320"/>
      <c r="F20" s="320"/>
      <c r="G20" s="320"/>
      <c r="H20" s="319"/>
      <c r="I20" s="158"/>
      <c r="J20" s="158"/>
      <c r="K20" s="319"/>
    </row>
    <row r="21" spans="2:11" x14ac:dyDescent="0.3">
      <c r="B21" s="318"/>
      <c r="C21" s="319"/>
      <c r="D21" s="320"/>
      <c r="E21" s="320"/>
      <c r="F21" s="320"/>
      <c r="G21" s="320"/>
      <c r="H21" s="319"/>
      <c r="I21" s="158"/>
      <c r="J21" s="158"/>
      <c r="K21" s="319"/>
    </row>
    <row r="22" spans="2:11" x14ac:dyDescent="0.3">
      <c r="B22" s="318"/>
      <c r="C22" s="319"/>
      <c r="D22" s="320"/>
      <c r="E22" s="320"/>
      <c r="F22" s="320"/>
      <c r="G22" s="320"/>
      <c r="H22" s="319"/>
      <c r="I22" s="158"/>
      <c r="J22" s="158"/>
      <c r="K22" s="319"/>
    </row>
    <row r="23" spans="2:11" x14ac:dyDescent="0.3">
      <c r="B23" s="318"/>
      <c r="C23" s="319"/>
      <c r="D23" s="320"/>
      <c r="E23" s="320"/>
      <c r="F23" s="320"/>
      <c r="G23" s="320"/>
      <c r="H23" s="319"/>
      <c r="I23" s="158"/>
      <c r="J23" s="158"/>
      <c r="K23" s="319"/>
    </row>
    <row r="24" spans="2:11" x14ac:dyDescent="0.3">
      <c r="B24" s="318"/>
      <c r="C24" s="319"/>
      <c r="D24" s="320"/>
      <c r="E24" s="320"/>
      <c r="F24" s="320"/>
      <c r="G24" s="320"/>
      <c r="H24" s="319"/>
      <c r="I24" s="158"/>
      <c r="J24" s="158"/>
      <c r="K24" s="319"/>
    </row>
    <row r="25" spans="2:11" x14ac:dyDescent="0.3">
      <c r="B25" s="318"/>
      <c r="C25" s="319"/>
      <c r="D25" s="320"/>
      <c r="E25" s="320"/>
      <c r="F25" s="320"/>
      <c r="G25" s="320"/>
      <c r="H25" s="319"/>
      <c r="I25" s="158"/>
      <c r="J25" s="158"/>
      <c r="K25" s="319"/>
    </row>
    <row r="26" spans="2:11" x14ac:dyDescent="0.3">
      <c r="B26" s="318"/>
      <c r="C26" s="319"/>
      <c r="D26" s="320"/>
      <c r="E26" s="320"/>
      <c r="F26" s="320"/>
      <c r="G26" s="320"/>
      <c r="H26" s="319"/>
      <c r="I26" s="158"/>
      <c r="J26" s="158"/>
      <c r="K26" s="319"/>
    </row>
    <row r="27" spans="2:11" x14ac:dyDescent="0.3">
      <c r="B27" s="318"/>
      <c r="C27" s="319"/>
      <c r="D27" s="320"/>
      <c r="E27" s="320"/>
      <c r="F27" s="320"/>
      <c r="G27" s="320"/>
      <c r="H27" s="319"/>
      <c r="I27" s="158"/>
      <c r="J27" s="158"/>
      <c r="K27" s="319"/>
    </row>
    <row r="28" spans="2:11" x14ac:dyDescent="0.3">
      <c r="B28" s="318"/>
      <c r="C28" s="319"/>
      <c r="D28" s="320"/>
      <c r="E28" s="320"/>
      <c r="F28" s="320"/>
      <c r="G28" s="320"/>
      <c r="H28" s="319"/>
      <c r="I28" s="158"/>
      <c r="J28" s="158"/>
      <c r="K28" s="319"/>
    </row>
    <row r="29" spans="2:11" x14ac:dyDescent="0.3">
      <c r="B29" s="318"/>
      <c r="C29" s="319"/>
      <c r="D29" s="320"/>
      <c r="E29" s="320"/>
      <c r="F29" s="320"/>
      <c r="G29" s="320"/>
      <c r="H29" s="319"/>
      <c r="I29" s="158"/>
      <c r="J29" s="158"/>
      <c r="K29" s="319"/>
    </row>
    <row r="30" spans="2:11" x14ac:dyDescent="0.3">
      <c r="B30" s="318"/>
      <c r="C30" s="319"/>
      <c r="D30" s="320"/>
      <c r="E30" s="320"/>
      <c r="F30" s="320"/>
      <c r="G30" s="320"/>
      <c r="H30" s="319"/>
      <c r="I30" s="158"/>
      <c r="J30" s="158"/>
      <c r="K30" s="319"/>
    </row>
    <row r="31" spans="2:11" x14ac:dyDescent="0.3">
      <c r="B31" s="318"/>
      <c r="C31" s="319"/>
      <c r="D31" s="320"/>
      <c r="E31" s="320"/>
      <c r="F31" s="320"/>
      <c r="G31" s="320"/>
      <c r="H31" s="319"/>
      <c r="I31" s="158"/>
      <c r="J31" s="158"/>
      <c r="K31" s="319"/>
    </row>
    <row r="32" spans="2:11" x14ac:dyDescent="0.3">
      <c r="B32" s="318"/>
      <c r="C32" s="319"/>
      <c r="D32" s="320"/>
      <c r="E32" s="320"/>
      <c r="F32" s="320"/>
      <c r="G32" s="320"/>
      <c r="H32" s="319"/>
      <c r="I32" s="158"/>
      <c r="J32" s="158"/>
      <c r="K32" s="319"/>
    </row>
    <row r="33" spans="2:11" x14ac:dyDescent="0.3">
      <c r="B33" s="318"/>
      <c r="C33" s="319"/>
      <c r="D33" s="320"/>
      <c r="E33" s="320"/>
      <c r="F33" s="320"/>
      <c r="G33" s="320"/>
      <c r="H33" s="319"/>
      <c r="I33" s="158"/>
      <c r="J33" s="158"/>
      <c r="K33" s="319"/>
    </row>
    <row r="34" spans="2:11" x14ac:dyDescent="0.3">
      <c r="B34" s="318"/>
      <c r="C34" s="319"/>
      <c r="D34" s="320"/>
      <c r="E34" s="320"/>
      <c r="F34" s="320"/>
      <c r="G34" s="320"/>
      <c r="H34" s="319"/>
      <c r="I34" s="158"/>
      <c r="J34" s="158"/>
      <c r="K34" s="319"/>
    </row>
    <row r="35" spans="2:11" x14ac:dyDescent="0.3">
      <c r="B35" s="318"/>
      <c r="C35" s="319"/>
      <c r="D35" s="320"/>
      <c r="E35" s="320"/>
      <c r="F35" s="320"/>
      <c r="G35" s="320"/>
      <c r="H35" s="319"/>
      <c r="I35" s="158"/>
      <c r="J35" s="158"/>
      <c r="K35" s="319"/>
    </row>
    <row r="36" spans="2:11" x14ac:dyDescent="0.3">
      <c r="B36" s="318"/>
      <c r="C36" s="319"/>
      <c r="D36" s="320"/>
      <c r="E36" s="320"/>
      <c r="F36" s="320"/>
      <c r="G36" s="320"/>
      <c r="H36" s="319"/>
      <c r="I36" s="158"/>
      <c r="J36" s="158"/>
      <c r="K36" s="319"/>
    </row>
    <row r="37" spans="2:11" x14ac:dyDescent="0.3">
      <c r="B37" s="318"/>
      <c r="C37" s="319"/>
      <c r="D37" s="320"/>
      <c r="E37" s="320"/>
      <c r="F37" s="320"/>
      <c r="G37" s="320"/>
      <c r="H37" s="319"/>
      <c r="I37" s="158"/>
      <c r="J37" s="158"/>
      <c r="K37" s="319"/>
    </row>
    <row r="38" spans="2:11" x14ac:dyDescent="0.3">
      <c r="B38" s="318"/>
      <c r="C38" s="319"/>
      <c r="D38" s="320"/>
      <c r="E38" s="320"/>
      <c r="F38" s="320"/>
      <c r="G38" s="320"/>
      <c r="H38" s="319"/>
      <c r="I38" s="158"/>
      <c r="J38" s="158"/>
      <c r="K38" s="319"/>
    </row>
    <row r="39" spans="2:11" x14ac:dyDescent="0.3">
      <c r="B39" s="318"/>
      <c r="C39" s="319"/>
      <c r="D39" s="320"/>
      <c r="E39" s="320"/>
      <c r="F39" s="320"/>
      <c r="G39" s="320"/>
      <c r="H39" s="319"/>
      <c r="I39" s="158"/>
      <c r="J39" s="158"/>
      <c r="K39" s="319"/>
    </row>
    <row r="40" spans="2:11" x14ac:dyDescent="0.3">
      <c r="B40" s="318"/>
      <c r="C40" s="319"/>
      <c r="D40" s="320"/>
      <c r="E40" s="320"/>
      <c r="F40" s="320"/>
      <c r="G40" s="320"/>
      <c r="H40" s="319"/>
      <c r="I40" s="158"/>
      <c r="J40" s="158"/>
      <c r="K40" s="319"/>
    </row>
    <row r="41" spans="2:11" x14ac:dyDescent="0.3">
      <c r="B41" s="318"/>
      <c r="C41" s="319"/>
      <c r="D41" s="320"/>
      <c r="E41" s="320"/>
      <c r="F41" s="320"/>
      <c r="G41" s="320"/>
      <c r="H41" s="319"/>
      <c r="I41" s="158"/>
      <c r="J41" s="158"/>
      <c r="K41" s="319"/>
    </row>
    <row r="42" spans="2:11" x14ac:dyDescent="0.3">
      <c r="B42" s="318"/>
      <c r="C42" s="319"/>
      <c r="D42" s="320"/>
      <c r="E42" s="320"/>
      <c r="F42" s="320"/>
      <c r="G42" s="320"/>
      <c r="H42" s="319"/>
      <c r="I42" s="158"/>
      <c r="J42" s="158"/>
      <c r="K42" s="319"/>
    </row>
    <row r="43" spans="2:11" x14ac:dyDescent="0.3">
      <c r="B43" s="318"/>
      <c r="C43" s="319"/>
      <c r="D43" s="320"/>
      <c r="E43" s="320"/>
      <c r="F43" s="320"/>
      <c r="G43" s="320"/>
      <c r="H43" s="319"/>
      <c r="I43" s="158"/>
      <c r="J43" s="158"/>
      <c r="K43" s="319"/>
    </row>
    <row r="44" spans="2:11" x14ac:dyDescent="0.3">
      <c r="B44" s="318"/>
      <c r="C44" s="319"/>
      <c r="D44" s="320"/>
      <c r="E44" s="320"/>
      <c r="F44" s="320"/>
      <c r="G44" s="320"/>
      <c r="H44" s="319"/>
      <c r="I44" s="158"/>
      <c r="J44" s="158"/>
      <c r="K44" s="319"/>
    </row>
    <row r="45" spans="2:11" x14ac:dyDescent="0.3">
      <c r="B45" s="318"/>
      <c r="C45" s="319"/>
      <c r="D45" s="320"/>
      <c r="E45" s="320"/>
      <c r="F45" s="320"/>
      <c r="G45" s="320"/>
      <c r="H45" s="319"/>
      <c r="I45" s="158"/>
      <c r="J45" s="158"/>
      <c r="K45" s="319"/>
    </row>
    <row r="46" spans="2:11" x14ac:dyDescent="0.3">
      <c r="B46" s="318"/>
      <c r="C46" s="319"/>
      <c r="D46" s="320"/>
      <c r="E46" s="320"/>
      <c r="F46" s="320"/>
      <c r="G46" s="320"/>
      <c r="H46" s="319"/>
      <c r="I46" s="158"/>
      <c r="J46" s="158"/>
      <c r="K46" s="319"/>
    </row>
    <row r="47" spans="2:11" x14ac:dyDescent="0.3">
      <c r="B47" s="318"/>
      <c r="C47" s="319"/>
      <c r="D47" s="320"/>
      <c r="E47" s="320"/>
      <c r="F47" s="320"/>
      <c r="G47" s="320"/>
      <c r="H47" s="319"/>
      <c r="I47" s="158"/>
      <c r="J47" s="158"/>
      <c r="K47" s="319"/>
    </row>
    <row r="48" spans="2:11" x14ac:dyDescent="0.3">
      <c r="B48" s="318"/>
      <c r="C48" s="319"/>
      <c r="D48" s="320"/>
      <c r="E48" s="320"/>
      <c r="F48" s="320"/>
      <c r="G48" s="320"/>
      <c r="H48" s="319"/>
      <c r="I48" s="158"/>
      <c r="J48" s="158"/>
      <c r="K48" s="319"/>
    </row>
    <row r="49" spans="2:11" x14ac:dyDescent="0.3">
      <c r="B49" s="318"/>
      <c r="C49" s="319"/>
      <c r="D49" s="320"/>
      <c r="E49" s="320"/>
      <c r="F49" s="320"/>
      <c r="G49" s="320"/>
      <c r="H49" s="319"/>
      <c r="I49" s="158"/>
      <c r="J49" s="158"/>
      <c r="K49" s="319"/>
    </row>
    <row r="50" spans="2:11" x14ac:dyDescent="0.3">
      <c r="B50" s="318"/>
      <c r="C50" s="319"/>
      <c r="D50" s="320"/>
      <c r="E50" s="320"/>
      <c r="F50" s="320"/>
      <c r="G50" s="320"/>
      <c r="H50" s="319"/>
      <c r="I50" s="158"/>
      <c r="J50" s="158"/>
      <c r="K50" s="319"/>
    </row>
    <row r="51" spans="2:11" x14ac:dyDescent="0.3">
      <c r="B51" s="318"/>
      <c r="C51" s="319"/>
      <c r="D51" s="320"/>
      <c r="E51" s="320"/>
      <c r="F51" s="320"/>
      <c r="G51" s="320"/>
      <c r="H51" s="319"/>
      <c r="I51" s="158"/>
      <c r="J51" s="158"/>
      <c r="K51" s="319"/>
    </row>
    <row r="52" spans="2:11" x14ac:dyDescent="0.3">
      <c r="B52" s="318"/>
      <c r="C52" s="319"/>
      <c r="D52" s="320"/>
      <c r="E52" s="320"/>
      <c r="F52" s="320"/>
      <c r="G52" s="320"/>
      <c r="H52" s="319"/>
      <c r="I52" s="158"/>
      <c r="J52" s="158"/>
      <c r="K52" s="319"/>
    </row>
    <row r="53" spans="2:11" x14ac:dyDescent="0.3">
      <c r="B53" s="318"/>
      <c r="C53" s="319"/>
      <c r="D53" s="320"/>
      <c r="E53" s="320"/>
      <c r="F53" s="320"/>
      <c r="G53" s="320"/>
      <c r="H53" s="319"/>
      <c r="I53" s="158"/>
      <c r="J53" s="158"/>
      <c r="K53" s="319"/>
    </row>
    <row r="54" spans="2:11" x14ac:dyDescent="0.3">
      <c r="B54" s="318"/>
      <c r="C54" s="319"/>
      <c r="D54" s="320"/>
      <c r="E54" s="320"/>
      <c r="F54" s="320"/>
      <c r="G54" s="320"/>
      <c r="H54" s="319"/>
      <c r="I54" s="158"/>
      <c r="J54" s="158"/>
      <c r="K54" s="319"/>
    </row>
    <row r="55" spans="2:11" x14ac:dyDescent="0.3">
      <c r="B55" s="318"/>
      <c r="C55" s="319"/>
      <c r="D55" s="320"/>
      <c r="E55" s="320"/>
      <c r="F55" s="320"/>
      <c r="G55" s="320"/>
      <c r="H55" s="319"/>
      <c r="I55" s="158"/>
      <c r="J55" s="158"/>
      <c r="K55" s="319"/>
    </row>
    <row r="56" spans="2:11" x14ac:dyDescent="0.3">
      <c r="B56" s="318"/>
      <c r="C56" s="319"/>
      <c r="D56" s="320"/>
      <c r="E56" s="320"/>
      <c r="F56" s="320"/>
      <c r="G56" s="320"/>
      <c r="H56" s="319"/>
      <c r="I56" s="158"/>
      <c r="J56" s="158"/>
      <c r="K56" s="319"/>
    </row>
    <row r="57" spans="2:11" x14ac:dyDescent="0.3">
      <c r="B57" s="318"/>
      <c r="C57" s="319"/>
      <c r="D57" s="320"/>
      <c r="E57" s="320"/>
      <c r="F57" s="320"/>
      <c r="G57" s="320"/>
      <c r="H57" s="319"/>
      <c r="I57" s="158"/>
      <c r="J57" s="158"/>
      <c r="K57" s="319"/>
    </row>
    <row r="58" spans="2:11" x14ac:dyDescent="0.3">
      <c r="B58" s="318"/>
      <c r="C58" s="319"/>
      <c r="D58" s="320"/>
      <c r="E58" s="320"/>
      <c r="F58" s="320"/>
      <c r="G58" s="320"/>
      <c r="H58" s="319"/>
      <c r="I58" s="158"/>
      <c r="J58" s="158"/>
      <c r="K58" s="319"/>
    </row>
    <row r="59" spans="2:11" x14ac:dyDescent="0.3">
      <c r="B59" s="318"/>
      <c r="C59" s="319"/>
      <c r="D59" s="320"/>
      <c r="E59" s="320"/>
      <c r="F59" s="320"/>
      <c r="G59" s="320"/>
      <c r="H59" s="319"/>
      <c r="I59" s="158"/>
      <c r="J59" s="158"/>
      <c r="K59" s="319"/>
    </row>
    <row r="60" spans="2:11" x14ac:dyDescent="0.3">
      <c r="B60" s="318"/>
      <c r="C60" s="319"/>
      <c r="D60" s="320"/>
      <c r="E60" s="320"/>
      <c r="F60" s="320"/>
      <c r="G60" s="320"/>
      <c r="H60" s="319"/>
      <c r="I60" s="158"/>
      <c r="J60" s="158"/>
      <c r="K60" s="319"/>
    </row>
    <row r="61" spans="2:11" x14ac:dyDescent="0.3">
      <c r="B61" s="318"/>
      <c r="C61" s="319"/>
      <c r="D61" s="320"/>
      <c r="E61" s="320"/>
      <c r="F61" s="320"/>
      <c r="G61" s="320"/>
      <c r="H61" s="319"/>
      <c r="I61" s="158"/>
      <c r="J61" s="158"/>
      <c r="K61" s="319"/>
    </row>
    <row r="62" spans="2:11" x14ac:dyDescent="0.3">
      <c r="B62" s="320"/>
      <c r="C62" s="318"/>
      <c r="D62" s="320"/>
      <c r="E62" s="320"/>
      <c r="F62" s="320"/>
      <c r="G62" s="320"/>
      <c r="H62" s="320"/>
      <c r="I62" s="158"/>
      <c r="J62" s="158"/>
      <c r="K62" s="320"/>
    </row>
    <row r="63" spans="2:11" x14ac:dyDescent="0.3">
      <c r="B63" s="320"/>
      <c r="C63" s="318"/>
      <c r="D63" s="320"/>
      <c r="E63" s="320"/>
      <c r="F63" s="320"/>
      <c r="G63" s="320"/>
      <c r="H63" s="320"/>
      <c r="I63" s="158"/>
      <c r="J63" s="158"/>
      <c r="K63" s="320"/>
    </row>
    <row r="64" spans="2:11" x14ac:dyDescent="0.3">
      <c r="B64" s="320"/>
      <c r="C64" s="318"/>
      <c r="D64" s="320"/>
      <c r="E64" s="320"/>
      <c r="F64" s="320"/>
      <c r="G64" s="320"/>
      <c r="H64" s="320"/>
      <c r="I64" s="158"/>
      <c r="J64" s="158"/>
      <c r="K64" s="320"/>
    </row>
    <row r="65" spans="3:3" x14ac:dyDescent="0.3">
      <c r="C65" s="318"/>
    </row>
    <row r="66" spans="3:3" x14ac:dyDescent="0.3">
      <c r="C66" s="318"/>
    </row>
  </sheetData>
  <sheetProtection sheet="1" objects="1" scenarios="1"/>
  <mergeCells count="2">
    <mergeCell ref="B2:F2"/>
    <mergeCell ref="B3:F3"/>
  </mergeCells>
  <phoneticPr fontId="2" type="noConversion"/>
  <pageMargins left="0.5" right="0.5" top="1" bottom="1" header="0.5" footer="0.5"/>
  <pageSetup orientation="landscape"/>
  <headerFooter alignWithMargins="0">
    <oddFooter>&amp;L File: &amp;F ! &amp;A&amp;R&amp;D  &amp;P of &amp;N</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7C7B6-1FF9-4EED-ABA9-6AFA54180C2A}">
  <sheetPr codeName="IRWeek"/>
  <dimension ref="A1:I7"/>
  <sheetViews>
    <sheetView showRowColHeaders="0" workbookViewId="0">
      <pane ySplit="6" topLeftCell="A7" activePane="bottomLeft" state="frozenSplit"/>
      <selection pane="bottomLeft" activeCell="C2" sqref="C2:F2"/>
    </sheetView>
  </sheetViews>
  <sheetFormatPr baseColWidth="10" defaultColWidth="9.1328125" defaultRowHeight="10.15" x14ac:dyDescent="0.3"/>
  <cols>
    <col min="1" max="1" width="9.73046875" style="94" customWidth="1"/>
    <col min="2" max="2" width="1" style="4" customWidth="1"/>
    <col min="3" max="3" width="5.73046875" style="94" customWidth="1"/>
    <col min="4" max="4" width="1" style="4" customWidth="1"/>
    <col min="5" max="5" width="5.73046875" style="94" customWidth="1"/>
    <col min="6" max="6" width="1" style="4" customWidth="1"/>
    <col min="7" max="7" width="30.73046875" style="97" customWidth="1"/>
    <col min="8" max="8" width="1" style="4" customWidth="1"/>
    <col min="9" max="9" width="30.73046875" style="97" customWidth="1"/>
    <col min="10" max="10" width="1.73046875" style="4" customWidth="1"/>
    <col min="11" max="16384" width="9.1328125" style="4"/>
  </cols>
  <sheetData>
    <row r="1" spans="1:9" ht="15" x14ac:dyDescent="0.4">
      <c r="A1" s="64" t="str">
        <f>[0]!TSPProcessName &amp; " Issue Risk Week Summary - Form IRWEEK"</f>
        <v>TSPi Issue Risk Week Summary - Form IRWEEK</v>
      </c>
      <c r="B1" s="164"/>
      <c r="C1" s="164"/>
      <c r="D1" s="164"/>
      <c r="E1" s="164"/>
      <c r="F1" s="164"/>
      <c r="G1" s="164"/>
      <c r="H1" s="164"/>
      <c r="I1" s="164"/>
    </row>
    <row r="2" spans="1:9" ht="13.15" x14ac:dyDescent="0.4">
      <c r="A2" s="87" t="s">
        <v>312</v>
      </c>
      <c r="B2" s="164"/>
      <c r="C2" s="361" t="str">
        <f>IF(Name=0,"",Name)</f>
        <v>Isaac Diaz Perez</v>
      </c>
      <c r="D2" s="361"/>
      <c r="E2" s="361"/>
      <c r="F2" s="361"/>
      <c r="G2" s="164"/>
      <c r="H2" s="96" t="s">
        <v>314</v>
      </c>
      <c r="I2" s="255">
        <f ca="1">currentDate</f>
        <v>46182</v>
      </c>
    </row>
    <row r="3" spans="1:9" ht="13.15" x14ac:dyDescent="0.4">
      <c r="A3" s="87" t="s">
        <v>14</v>
      </c>
      <c r="B3" s="164"/>
      <c r="C3" s="362" t="str">
        <f>IF(TeamName=0,"",TeamName)</f>
        <v>TSP-GRUPO B02-SUBGRUPO 3</v>
      </c>
      <c r="D3" s="362"/>
      <c r="E3" s="362"/>
      <c r="F3" s="362"/>
      <c r="G3" s="164"/>
      <c r="H3" s="96" t="str">
        <f>IF(Project!A5&lt;&gt;"",Project!A5,"")</f>
        <v>Team</v>
      </c>
      <c r="I3" s="313" t="str">
        <f>IF(InstructorName=0,"",InstructorName)</f>
        <v>Natalia Martinez Rojas</v>
      </c>
    </row>
    <row r="4" spans="1:9" ht="13.15" x14ac:dyDescent="0.4">
      <c r="A4" s="87" t="s">
        <v>576</v>
      </c>
      <c r="B4" s="164"/>
      <c r="C4" s="314">
        <v>1</v>
      </c>
      <c r="D4" s="164"/>
      <c r="E4" s="164"/>
      <c r="F4" s="164"/>
      <c r="G4" s="164"/>
      <c r="H4" s="96" t="s">
        <v>327</v>
      </c>
      <c r="I4" s="313">
        <f>IF(Cycle=0,"",Cycle)</f>
        <v>1</v>
      </c>
    </row>
    <row r="5" spans="1:9" x14ac:dyDescent="0.3">
      <c r="A5" s="164"/>
      <c r="B5" s="164"/>
      <c r="C5" s="164"/>
      <c r="D5" s="164"/>
      <c r="E5" s="164"/>
      <c r="F5" s="164"/>
      <c r="G5" s="164"/>
      <c r="H5" s="164"/>
      <c r="I5" s="164"/>
    </row>
    <row r="6" spans="1:9" ht="60" customHeight="1" x14ac:dyDescent="0.35">
      <c r="A6" s="79" t="s">
        <v>643</v>
      </c>
      <c r="B6" s="40"/>
      <c r="C6" s="95" t="s">
        <v>644</v>
      </c>
      <c r="D6" s="40"/>
      <c r="E6" s="95" t="s">
        <v>645</v>
      </c>
      <c r="F6" s="40"/>
      <c r="G6" s="41" t="s">
        <v>2</v>
      </c>
      <c r="H6" s="40"/>
      <c r="I6" s="41" t="s">
        <v>646</v>
      </c>
    </row>
    <row r="7" spans="1:9" x14ac:dyDescent="0.3">
      <c r="A7" s="321"/>
      <c r="B7" s="164"/>
      <c r="C7" s="321"/>
      <c r="D7" s="164"/>
      <c r="E7" s="321"/>
      <c r="F7" s="164"/>
      <c r="G7" s="322"/>
      <c r="H7" s="164"/>
      <c r="I7" s="322"/>
    </row>
  </sheetData>
  <mergeCells count="2">
    <mergeCell ref="C2:F2"/>
    <mergeCell ref="C3:F3"/>
  </mergeCells>
  <phoneticPr fontId="2" type="noConversion"/>
  <pageMargins left="0.75" right="0.75" top="1" bottom="1" header="0.5" footer="0.5"/>
  <pageSetup orientation="portrait"/>
  <headerFooter alignWithMargins="0">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7586" r:id="rId3" name="weekSelector">
              <controlPr defaultSize="0" autoPict="0" macro="[0]!IRWeek.weekSelector_Change">
                <anchor moveWithCells="1" sizeWithCells="1">
                  <from>
                    <xdr:col>3</xdr:col>
                    <xdr:colOff>14288</xdr:colOff>
                    <xdr:row>3</xdr:row>
                    <xdr:rowOff>0</xdr:rowOff>
                  </from>
                  <to>
                    <xdr:col>4</xdr:col>
                    <xdr:colOff>52388</xdr:colOff>
                    <xdr:row>4</xdr:row>
                    <xdr:rowOff>23813</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8DFAF-470B-410E-B390-B3DA3F6F82A4}">
  <sheetPr codeName="DefectTypes"/>
  <dimension ref="A1:D37"/>
  <sheetViews>
    <sheetView showRowColHeaders="0" workbookViewId="0">
      <selection activeCell="A2" sqref="A2"/>
    </sheetView>
  </sheetViews>
  <sheetFormatPr baseColWidth="10" defaultColWidth="9.1328125" defaultRowHeight="10.15" x14ac:dyDescent="0.3"/>
  <cols>
    <col min="1" max="1" width="5" style="6" bestFit="1" customWidth="1"/>
    <col min="2" max="2" width="29.86328125" style="6" customWidth="1"/>
    <col min="3" max="16384" width="9.1328125" style="4"/>
  </cols>
  <sheetData>
    <row r="1" spans="1:2" x14ac:dyDescent="0.3">
      <c r="A1" s="191" t="s">
        <v>600</v>
      </c>
      <c r="B1" s="191" t="s">
        <v>2</v>
      </c>
    </row>
    <row r="2" spans="1:2" x14ac:dyDescent="0.3">
      <c r="A2" s="156">
        <v>10</v>
      </c>
      <c r="B2" s="156" t="s">
        <v>355</v>
      </c>
    </row>
    <row r="3" spans="1:2" x14ac:dyDescent="0.3">
      <c r="A3" s="156">
        <v>20</v>
      </c>
      <c r="B3" s="156" t="s">
        <v>647</v>
      </c>
    </row>
    <row r="4" spans="1:2" x14ac:dyDescent="0.3">
      <c r="A4" s="156">
        <v>30</v>
      </c>
      <c r="B4" s="156" t="s">
        <v>648</v>
      </c>
    </row>
    <row r="5" spans="1:2" x14ac:dyDescent="0.3">
      <c r="A5" s="156">
        <v>40</v>
      </c>
      <c r="B5" s="156" t="s">
        <v>649</v>
      </c>
    </row>
    <row r="6" spans="1:2" x14ac:dyDescent="0.3">
      <c r="A6" s="156">
        <v>50</v>
      </c>
      <c r="B6" s="156" t="s">
        <v>650</v>
      </c>
    </row>
    <row r="7" spans="1:2" x14ac:dyDescent="0.3">
      <c r="A7" s="156">
        <v>60</v>
      </c>
      <c r="B7" s="156" t="s">
        <v>651</v>
      </c>
    </row>
    <row r="8" spans="1:2" x14ac:dyDescent="0.3">
      <c r="A8" s="156">
        <v>70</v>
      </c>
      <c r="B8" s="156" t="s">
        <v>652</v>
      </c>
    </row>
    <row r="9" spans="1:2" x14ac:dyDescent="0.3">
      <c r="A9" s="156">
        <v>80</v>
      </c>
      <c r="B9" s="156" t="s">
        <v>653</v>
      </c>
    </row>
    <row r="10" spans="1:2" x14ac:dyDescent="0.3">
      <c r="A10" s="156">
        <v>90</v>
      </c>
      <c r="B10" s="156" t="s">
        <v>654</v>
      </c>
    </row>
    <row r="11" spans="1:2" x14ac:dyDescent="0.3">
      <c r="A11" s="156">
        <v>100</v>
      </c>
      <c r="B11" s="156" t="s">
        <v>655</v>
      </c>
    </row>
    <row r="37" spans="4:4" x14ac:dyDescent="0.3">
      <c r="D37" s="35"/>
    </row>
  </sheetData>
  <sheetProtection sheet="1" objects="1" scenarios="1"/>
  <dataConsolidate/>
  <phoneticPr fontId="2" type="noConversion"/>
  <dataValidations count="3">
    <dataValidation allowBlank="1" showInputMessage="1" showErrorMessage="1" promptTitle="Defect Type" prompt="Enter the defect type number." sqref="A1" xr:uid="{AC928B32-506C-44A9-8324-298AFB598A06}"/>
    <dataValidation allowBlank="1" showInputMessage="1" showErrorMessage="1" promptTitle="Defect Description" prompt="Enter a brief description of the defect." sqref="B1" xr:uid="{60ED43E4-CDD1-4B8B-964D-BE7A7430A521}"/>
    <dataValidation allowBlank="1" showInputMessage="1" showErrorMessage="1" sqref="B2" xr:uid="{2E509AAF-DBEC-496E-AAC0-5CE746EB0E97}"/>
  </dataValidations>
  <pageMargins left="0.75" right="0.75" top="1" bottom="1" header="0.5" footer="0.5"/>
  <pageSetup orientation="portrait"/>
  <headerFooter alignWithMargins="0">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defectTypes.restoreDefectTypeDefaults">
                <anchor moveWithCells="1" sizeWithCells="1">
                  <from>
                    <xdr:col>2</xdr:col>
                    <xdr:colOff>166688</xdr:colOff>
                    <xdr:row>1</xdr:row>
                    <xdr:rowOff>52388</xdr:rowOff>
                  </from>
                  <to>
                    <xdr:col>3</xdr:col>
                    <xdr:colOff>604838</xdr:colOff>
                    <xdr:row>4</xdr:row>
                    <xdr:rowOff>80963</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3BE84-7155-46C4-BAA7-5F4EFB202B4C}">
  <sheetPr codeName="Phases"/>
  <dimension ref="A1:Q44"/>
  <sheetViews>
    <sheetView workbookViewId="0">
      <pane xSplit="2" ySplit="1" topLeftCell="C2" activePane="bottomRight" state="frozenSplit"/>
      <selection pane="topRight" activeCell="D5" sqref="D5"/>
      <selection pane="bottomLeft" activeCell="D5" sqref="D5"/>
      <selection pane="bottomRight" activeCell="A2" sqref="A2"/>
    </sheetView>
  </sheetViews>
  <sheetFormatPr baseColWidth="10" defaultColWidth="9.1328125" defaultRowHeight="10.15" x14ac:dyDescent="0.3"/>
  <cols>
    <col min="1" max="1" width="8.73046875" style="2" customWidth="1"/>
    <col min="2" max="2" width="25.73046875" style="2" customWidth="1"/>
    <col min="3" max="6" width="7.73046875" style="54" customWidth="1"/>
    <col min="7" max="7" width="3.73046875" style="2" customWidth="1"/>
    <col min="8" max="8" width="6.1328125" style="2" customWidth="1"/>
    <col min="9" max="9" width="7.73046875" style="2" customWidth="1"/>
    <col min="10" max="10" width="10.265625" style="2" customWidth="1"/>
    <col min="11" max="12" width="7.3984375" style="2" customWidth="1"/>
    <col min="13" max="13" width="6.3984375" style="2" customWidth="1"/>
    <col min="14" max="15" width="5.86328125" style="2" customWidth="1"/>
    <col min="16" max="16384" width="9.1328125" style="4"/>
  </cols>
  <sheetData>
    <row r="1" spans="1:15" s="45" customFormat="1" ht="50.65" x14ac:dyDescent="0.3">
      <c r="A1" s="192" t="s">
        <v>308</v>
      </c>
      <c r="B1" s="192" t="s">
        <v>2</v>
      </c>
      <c r="C1" s="256" t="s">
        <v>656</v>
      </c>
      <c r="D1" s="256" t="s">
        <v>657</v>
      </c>
      <c r="E1" s="256" t="s">
        <v>658</v>
      </c>
      <c r="F1" s="256" t="s">
        <v>659</v>
      </c>
      <c r="G1" s="192" t="s">
        <v>660</v>
      </c>
      <c r="H1" s="192" t="s">
        <v>661</v>
      </c>
      <c r="I1" s="192" t="s">
        <v>662</v>
      </c>
      <c r="J1" s="192" t="s">
        <v>663</v>
      </c>
      <c r="K1" s="192" t="s">
        <v>664</v>
      </c>
      <c r="L1" s="192" t="s">
        <v>665</v>
      </c>
      <c r="M1" s="192" t="s">
        <v>666</v>
      </c>
      <c r="N1" s="192" t="s">
        <v>667</v>
      </c>
      <c r="O1" s="192" t="s">
        <v>668</v>
      </c>
    </row>
    <row r="2" spans="1:15" x14ac:dyDescent="0.3">
      <c r="A2" s="283" t="s">
        <v>669</v>
      </c>
      <c r="B2" s="283" t="s">
        <v>311</v>
      </c>
      <c r="C2" s="323" t="s">
        <v>670</v>
      </c>
      <c r="D2" s="323" t="s">
        <v>671</v>
      </c>
      <c r="E2" s="323" t="s">
        <v>672</v>
      </c>
      <c r="F2" s="323" t="s">
        <v>672</v>
      </c>
      <c r="G2" s="283" t="s">
        <v>672</v>
      </c>
      <c r="H2" s="283" t="s">
        <v>672</v>
      </c>
      <c r="I2" s="283"/>
      <c r="J2" s="283"/>
      <c r="K2" s="283" t="s">
        <v>672</v>
      </c>
      <c r="L2" s="283" t="s">
        <v>672</v>
      </c>
      <c r="M2" s="283" t="s">
        <v>672</v>
      </c>
      <c r="N2" s="283" t="s">
        <v>672</v>
      </c>
      <c r="O2" s="283" t="s">
        <v>672</v>
      </c>
    </row>
    <row r="3" spans="1:15" x14ac:dyDescent="0.3">
      <c r="A3" s="283" t="s">
        <v>537</v>
      </c>
      <c r="B3" s="283" t="s">
        <v>316</v>
      </c>
      <c r="C3" s="323" t="s">
        <v>670</v>
      </c>
      <c r="D3" s="323" t="s">
        <v>671</v>
      </c>
      <c r="E3" s="323" t="s">
        <v>672</v>
      </c>
      <c r="F3" s="323" t="s">
        <v>672</v>
      </c>
      <c r="G3" s="283" t="s">
        <v>672</v>
      </c>
      <c r="H3" s="283" t="s">
        <v>672</v>
      </c>
      <c r="I3" s="283"/>
      <c r="J3" s="283"/>
      <c r="K3" s="283" t="s">
        <v>672</v>
      </c>
      <c r="L3" s="283" t="s">
        <v>672</v>
      </c>
      <c r="M3" s="283" t="s">
        <v>672</v>
      </c>
      <c r="N3" s="283" t="s">
        <v>672</v>
      </c>
      <c r="O3" s="283" t="s">
        <v>672</v>
      </c>
    </row>
    <row r="4" spans="1:15" x14ac:dyDescent="0.3">
      <c r="A4" s="283" t="s">
        <v>539</v>
      </c>
      <c r="B4" s="283" t="s">
        <v>320</v>
      </c>
      <c r="C4" s="323" t="s">
        <v>670</v>
      </c>
      <c r="D4" s="323" t="s">
        <v>671</v>
      </c>
      <c r="E4" s="323" t="s">
        <v>671</v>
      </c>
      <c r="F4" s="323" t="s">
        <v>671</v>
      </c>
      <c r="G4" s="283" t="s">
        <v>672</v>
      </c>
      <c r="H4" s="283" t="s">
        <v>672</v>
      </c>
      <c r="I4" s="283"/>
      <c r="J4" s="283"/>
      <c r="K4" s="283" t="s">
        <v>672</v>
      </c>
      <c r="L4" s="283" t="s">
        <v>671</v>
      </c>
      <c r="M4" s="283" t="s">
        <v>671</v>
      </c>
      <c r="N4" s="283" t="s">
        <v>671</v>
      </c>
      <c r="O4" s="283" t="s">
        <v>671</v>
      </c>
    </row>
    <row r="5" spans="1:15" x14ac:dyDescent="0.3">
      <c r="A5" s="283" t="s">
        <v>544</v>
      </c>
      <c r="B5" s="283" t="s">
        <v>186</v>
      </c>
      <c r="C5" s="323" t="s">
        <v>670</v>
      </c>
      <c r="D5" s="323" t="s">
        <v>671</v>
      </c>
      <c r="E5" s="323" t="s">
        <v>671</v>
      </c>
      <c r="F5" s="323" t="s">
        <v>671</v>
      </c>
      <c r="G5" s="283" t="s">
        <v>672</v>
      </c>
      <c r="H5" s="283" t="s">
        <v>672</v>
      </c>
      <c r="I5" s="283"/>
      <c r="J5" s="283"/>
      <c r="K5" s="283" t="s">
        <v>672</v>
      </c>
      <c r="L5" s="283" t="s">
        <v>671</v>
      </c>
      <c r="M5" s="283" t="s">
        <v>672</v>
      </c>
      <c r="N5" s="283" t="s">
        <v>671</v>
      </c>
      <c r="O5" s="283" t="s">
        <v>671</v>
      </c>
    </row>
    <row r="6" spans="1:15" x14ac:dyDescent="0.3">
      <c r="A6" s="283" t="s">
        <v>673</v>
      </c>
      <c r="B6" s="283" t="s">
        <v>329</v>
      </c>
      <c r="C6" s="323" t="s">
        <v>670</v>
      </c>
      <c r="D6" s="323" t="s">
        <v>671</v>
      </c>
      <c r="E6" s="323" t="s">
        <v>671</v>
      </c>
      <c r="F6" s="323" t="s">
        <v>671</v>
      </c>
      <c r="G6" s="283" t="s">
        <v>672</v>
      </c>
      <c r="H6" s="283" t="s">
        <v>672</v>
      </c>
      <c r="I6" s="283"/>
      <c r="J6" s="283"/>
      <c r="K6" s="283" t="s">
        <v>672</v>
      </c>
      <c r="L6" s="283" t="s">
        <v>671</v>
      </c>
      <c r="M6" s="283" t="s">
        <v>672</v>
      </c>
      <c r="N6" s="283" t="s">
        <v>671</v>
      </c>
      <c r="O6" s="283" t="s">
        <v>671</v>
      </c>
    </row>
    <row r="7" spans="1:15" x14ac:dyDescent="0.3">
      <c r="A7" s="283" t="s">
        <v>674</v>
      </c>
      <c r="B7" s="283" t="s">
        <v>334</v>
      </c>
      <c r="C7" s="323" t="s">
        <v>670</v>
      </c>
      <c r="D7" s="323" t="s">
        <v>671</v>
      </c>
      <c r="E7" s="323" t="s">
        <v>671</v>
      </c>
      <c r="F7" s="323" t="s">
        <v>671</v>
      </c>
      <c r="G7" s="283" t="s">
        <v>672</v>
      </c>
      <c r="H7" s="283" t="s">
        <v>671</v>
      </c>
      <c r="I7" s="283"/>
      <c r="J7" s="283" t="str">
        <f>B5</f>
        <v>Requirements</v>
      </c>
      <c r="K7" s="283" t="s">
        <v>671</v>
      </c>
      <c r="L7" s="283" t="s">
        <v>671</v>
      </c>
      <c r="M7" s="283" t="s">
        <v>672</v>
      </c>
      <c r="N7" s="283" t="s">
        <v>671</v>
      </c>
      <c r="O7" s="283" t="s">
        <v>671</v>
      </c>
    </row>
    <row r="8" spans="1:15" x14ac:dyDescent="0.3">
      <c r="A8" s="283" t="s">
        <v>675</v>
      </c>
      <c r="B8" s="283" t="s">
        <v>190</v>
      </c>
      <c r="C8" s="323" t="s">
        <v>670</v>
      </c>
      <c r="D8" s="323" t="s">
        <v>671</v>
      </c>
      <c r="E8" s="323" t="s">
        <v>671</v>
      </c>
      <c r="F8" s="323" t="s">
        <v>671</v>
      </c>
      <c r="G8" s="283" t="s">
        <v>672</v>
      </c>
      <c r="H8" s="283" t="s">
        <v>672</v>
      </c>
      <c r="I8" s="283"/>
      <c r="J8" s="283"/>
      <c r="K8" s="283" t="s">
        <v>672</v>
      </c>
      <c r="L8" s="283" t="s">
        <v>671</v>
      </c>
      <c r="M8" s="283" t="s">
        <v>672</v>
      </c>
      <c r="N8" s="283" t="s">
        <v>671</v>
      </c>
      <c r="O8" s="283" t="s">
        <v>671</v>
      </c>
    </row>
    <row r="9" spans="1:15" x14ac:dyDescent="0.3">
      <c r="A9" s="283" t="s">
        <v>676</v>
      </c>
      <c r="B9" s="283" t="s">
        <v>337</v>
      </c>
      <c r="C9" s="323" t="s">
        <v>670</v>
      </c>
      <c r="D9" s="323" t="s">
        <v>671</v>
      </c>
      <c r="E9" s="323" t="s">
        <v>671</v>
      </c>
      <c r="F9" s="323" t="s">
        <v>671</v>
      </c>
      <c r="G9" s="283" t="s">
        <v>672</v>
      </c>
      <c r="H9" s="283" t="s">
        <v>672</v>
      </c>
      <c r="I9" s="283"/>
      <c r="J9" s="283"/>
      <c r="K9" s="283" t="s">
        <v>672</v>
      </c>
      <c r="L9" s="283" t="s">
        <v>671</v>
      </c>
      <c r="M9" s="283" t="s">
        <v>672</v>
      </c>
      <c r="N9" s="283" t="s">
        <v>671</v>
      </c>
      <c r="O9" s="283" t="s">
        <v>671</v>
      </c>
    </row>
    <row r="10" spans="1:15" x14ac:dyDescent="0.3">
      <c r="A10" s="283" t="s">
        <v>677</v>
      </c>
      <c r="B10" s="283" t="s">
        <v>339</v>
      </c>
      <c r="C10" s="323" t="s">
        <v>670</v>
      </c>
      <c r="D10" s="323" t="s">
        <v>671</v>
      </c>
      <c r="E10" s="323" t="s">
        <v>671</v>
      </c>
      <c r="F10" s="323" t="s">
        <v>671</v>
      </c>
      <c r="G10" s="283" t="s">
        <v>672</v>
      </c>
      <c r="H10" s="283" t="s">
        <v>671</v>
      </c>
      <c r="I10" s="283"/>
      <c r="J10" s="283" t="str">
        <f>B8</f>
        <v>High-Level Design</v>
      </c>
      <c r="K10" s="283" t="s">
        <v>671</v>
      </c>
      <c r="L10" s="283" t="s">
        <v>671</v>
      </c>
      <c r="M10" s="283" t="s">
        <v>672</v>
      </c>
      <c r="N10" s="283" t="s">
        <v>671</v>
      </c>
      <c r="O10" s="283" t="s">
        <v>671</v>
      </c>
    </row>
    <row r="11" spans="1:15" x14ac:dyDescent="0.3">
      <c r="A11" s="283" t="s">
        <v>550</v>
      </c>
      <c r="B11" s="283" t="s">
        <v>341</v>
      </c>
      <c r="C11" s="323" t="s">
        <v>492</v>
      </c>
      <c r="D11" s="323" t="s">
        <v>671</v>
      </c>
      <c r="E11" s="323" t="s">
        <v>671</v>
      </c>
      <c r="F11" s="323" t="s">
        <v>671</v>
      </c>
      <c r="G11" s="283" t="s">
        <v>672</v>
      </c>
      <c r="H11" s="283" t="s">
        <v>672</v>
      </c>
      <c r="I11" s="283"/>
      <c r="J11" s="283" t="str">
        <f>B15</f>
        <v>Code</v>
      </c>
      <c r="K11" s="283" t="s">
        <v>672</v>
      </c>
      <c r="L11" s="283" t="s">
        <v>671</v>
      </c>
      <c r="M11" s="283" t="s">
        <v>672</v>
      </c>
      <c r="N11" s="283" t="s">
        <v>671</v>
      </c>
      <c r="O11" s="283" t="s">
        <v>671</v>
      </c>
    </row>
    <row r="12" spans="1:15" x14ac:dyDescent="0.3">
      <c r="A12" s="283" t="s">
        <v>678</v>
      </c>
      <c r="B12" s="283" t="s">
        <v>343</v>
      </c>
      <c r="C12" s="323" t="s">
        <v>492</v>
      </c>
      <c r="D12" s="323" t="s">
        <v>671</v>
      </c>
      <c r="E12" s="323" t="s">
        <v>671</v>
      </c>
      <c r="F12" s="323" t="s">
        <v>671</v>
      </c>
      <c r="G12" s="283" t="s">
        <v>672</v>
      </c>
      <c r="H12" s="283" t="s">
        <v>671</v>
      </c>
      <c r="I12" s="283" t="str">
        <f>B19</f>
        <v>Unit Test</v>
      </c>
      <c r="J12" s="283" t="str">
        <f>B11</f>
        <v>Detailed Design</v>
      </c>
      <c r="K12" s="283" t="s">
        <v>671</v>
      </c>
      <c r="L12" s="283" t="s">
        <v>671</v>
      </c>
      <c r="M12" s="283" t="s">
        <v>672</v>
      </c>
      <c r="N12" s="283" t="s">
        <v>671</v>
      </c>
      <c r="O12" s="283" t="s">
        <v>671</v>
      </c>
    </row>
    <row r="13" spans="1:15" x14ac:dyDescent="0.3">
      <c r="A13" s="283" t="s">
        <v>564</v>
      </c>
      <c r="B13" s="283" t="s">
        <v>345</v>
      </c>
      <c r="C13" s="323" t="s">
        <v>492</v>
      </c>
      <c r="D13" s="323" t="s">
        <v>671</v>
      </c>
      <c r="E13" s="323" t="s">
        <v>671</v>
      </c>
      <c r="F13" s="323" t="s">
        <v>671</v>
      </c>
      <c r="G13" s="283" t="s">
        <v>672</v>
      </c>
      <c r="H13" s="283" t="s">
        <v>672</v>
      </c>
      <c r="I13" s="283"/>
      <c r="J13" s="283"/>
      <c r="K13" s="283" t="s">
        <v>672</v>
      </c>
      <c r="L13" s="283" t="s">
        <v>671</v>
      </c>
      <c r="M13" s="283" t="s">
        <v>672</v>
      </c>
      <c r="N13" s="283" t="s">
        <v>671</v>
      </c>
      <c r="O13" s="283" t="s">
        <v>671</v>
      </c>
    </row>
    <row r="14" spans="1:15" x14ac:dyDescent="0.3">
      <c r="A14" s="283" t="s">
        <v>679</v>
      </c>
      <c r="B14" s="283" t="s">
        <v>347</v>
      </c>
      <c r="C14" s="323" t="s">
        <v>492</v>
      </c>
      <c r="D14" s="323" t="s">
        <v>671</v>
      </c>
      <c r="E14" s="323" t="s">
        <v>671</v>
      </c>
      <c r="F14" s="323" t="s">
        <v>671</v>
      </c>
      <c r="G14" s="283" t="s">
        <v>672</v>
      </c>
      <c r="H14" s="283" t="s">
        <v>671</v>
      </c>
      <c r="I14" s="283"/>
      <c r="J14" s="283"/>
      <c r="K14" s="283" t="s">
        <v>671</v>
      </c>
      <c r="L14" s="283" t="s">
        <v>671</v>
      </c>
      <c r="M14" s="283" t="s">
        <v>672</v>
      </c>
      <c r="N14" s="283" t="s">
        <v>671</v>
      </c>
      <c r="O14" s="283" t="s">
        <v>671</v>
      </c>
    </row>
    <row r="15" spans="1:15" x14ac:dyDescent="0.3">
      <c r="A15" s="283" t="s">
        <v>557</v>
      </c>
      <c r="B15" s="283" t="s">
        <v>348</v>
      </c>
      <c r="C15" s="323" t="s">
        <v>492</v>
      </c>
      <c r="D15" s="323" t="s">
        <v>671</v>
      </c>
      <c r="E15" s="323" t="s">
        <v>671</v>
      </c>
      <c r="F15" s="323" t="s">
        <v>671</v>
      </c>
      <c r="G15" s="283" t="s">
        <v>672</v>
      </c>
      <c r="H15" s="283" t="s">
        <v>672</v>
      </c>
      <c r="I15" s="283"/>
      <c r="J15" s="283"/>
      <c r="K15" s="283" t="s">
        <v>672</v>
      </c>
      <c r="L15" s="283" t="s">
        <v>671</v>
      </c>
      <c r="M15" s="283" t="s">
        <v>672</v>
      </c>
      <c r="N15" s="283" t="s">
        <v>671</v>
      </c>
      <c r="O15" s="283" t="s">
        <v>671</v>
      </c>
    </row>
    <row r="16" spans="1:15" x14ac:dyDescent="0.3">
      <c r="A16" s="283" t="s">
        <v>680</v>
      </c>
      <c r="B16" s="283" t="s">
        <v>349</v>
      </c>
      <c r="C16" s="323" t="s">
        <v>492</v>
      </c>
      <c r="D16" s="323" t="s">
        <v>671</v>
      </c>
      <c r="E16" s="323" t="s">
        <v>671</v>
      </c>
      <c r="F16" s="323" t="s">
        <v>671</v>
      </c>
      <c r="G16" s="283" t="s">
        <v>672</v>
      </c>
      <c r="H16" s="283" t="s">
        <v>671</v>
      </c>
      <c r="I16" s="283" t="str">
        <f>B17</f>
        <v>Compile</v>
      </c>
      <c r="J16" s="283" t="str">
        <f>B15</f>
        <v>Code</v>
      </c>
      <c r="K16" s="283" t="s">
        <v>671</v>
      </c>
      <c r="L16" s="283" t="s">
        <v>671</v>
      </c>
      <c r="M16" s="283" t="s">
        <v>672</v>
      </c>
      <c r="N16" s="283" t="s">
        <v>671</v>
      </c>
      <c r="O16" s="283" t="s">
        <v>671</v>
      </c>
    </row>
    <row r="17" spans="1:15" x14ac:dyDescent="0.3">
      <c r="A17" s="283" t="s">
        <v>333</v>
      </c>
      <c r="B17" s="283" t="s">
        <v>350</v>
      </c>
      <c r="C17" s="323" t="s">
        <v>492</v>
      </c>
      <c r="D17" s="323" t="s">
        <v>671</v>
      </c>
      <c r="E17" s="323" t="s">
        <v>671</v>
      </c>
      <c r="F17" s="323" t="s">
        <v>671</v>
      </c>
      <c r="G17" s="283" t="s">
        <v>681</v>
      </c>
      <c r="H17" s="283" t="s">
        <v>671</v>
      </c>
      <c r="I17" s="283"/>
      <c r="J17" s="283"/>
      <c r="K17" s="283" t="s">
        <v>672</v>
      </c>
      <c r="L17" s="283" t="s">
        <v>671</v>
      </c>
      <c r="M17" s="283" t="s">
        <v>671</v>
      </c>
      <c r="N17" s="283" t="s">
        <v>671</v>
      </c>
      <c r="O17" s="283" t="s">
        <v>671</v>
      </c>
    </row>
    <row r="18" spans="1:15" x14ac:dyDescent="0.3">
      <c r="A18" s="283" t="s">
        <v>335</v>
      </c>
      <c r="B18" s="283" t="s">
        <v>351</v>
      </c>
      <c r="C18" s="323" t="s">
        <v>492</v>
      </c>
      <c r="D18" s="323" t="s">
        <v>671</v>
      </c>
      <c r="E18" s="323" t="s">
        <v>671</v>
      </c>
      <c r="F18" s="323" t="s">
        <v>671</v>
      </c>
      <c r="G18" s="283" t="s">
        <v>672</v>
      </c>
      <c r="H18" s="283" t="s">
        <v>671</v>
      </c>
      <c r="I18" s="283"/>
      <c r="J18" s="283"/>
      <c r="K18" s="283" t="s">
        <v>671</v>
      </c>
      <c r="L18" s="283" t="s">
        <v>671</v>
      </c>
      <c r="M18" s="283" t="s">
        <v>672</v>
      </c>
      <c r="N18" s="283" t="s">
        <v>671</v>
      </c>
      <c r="O18" s="283" t="s">
        <v>671</v>
      </c>
    </row>
    <row r="19" spans="1:15" x14ac:dyDescent="0.3">
      <c r="A19" s="283" t="s">
        <v>336</v>
      </c>
      <c r="B19" s="283" t="s">
        <v>352</v>
      </c>
      <c r="C19" s="323" t="s">
        <v>492</v>
      </c>
      <c r="D19" s="323" t="s">
        <v>671</v>
      </c>
      <c r="E19" s="323" t="s">
        <v>671</v>
      </c>
      <c r="F19" s="323" t="s">
        <v>671</v>
      </c>
      <c r="G19" s="283" t="s">
        <v>671</v>
      </c>
      <c r="H19" s="283" t="s">
        <v>671</v>
      </c>
      <c r="I19" s="283"/>
      <c r="J19" s="283"/>
      <c r="K19" s="283" t="s">
        <v>672</v>
      </c>
      <c r="L19" s="283" t="s">
        <v>671</v>
      </c>
      <c r="M19" s="283" t="s">
        <v>671</v>
      </c>
      <c r="N19" s="283" t="s">
        <v>671</v>
      </c>
      <c r="O19" s="283" t="s">
        <v>671</v>
      </c>
    </row>
    <row r="20" spans="1:15" x14ac:dyDescent="0.3">
      <c r="A20" s="283" t="s">
        <v>338</v>
      </c>
      <c r="B20" s="283" t="s">
        <v>353</v>
      </c>
      <c r="C20" s="323" t="s">
        <v>670</v>
      </c>
      <c r="D20" s="323" t="s">
        <v>671</v>
      </c>
      <c r="E20" s="323" t="s">
        <v>671</v>
      </c>
      <c r="F20" s="323" t="s">
        <v>671</v>
      </c>
      <c r="G20" s="283" t="s">
        <v>671</v>
      </c>
      <c r="H20" s="283" t="s">
        <v>671</v>
      </c>
      <c r="I20" s="283"/>
      <c r="J20" s="283"/>
      <c r="K20" s="283" t="s">
        <v>672</v>
      </c>
      <c r="L20" s="283" t="s">
        <v>671</v>
      </c>
      <c r="M20" s="283" t="s">
        <v>671</v>
      </c>
      <c r="N20" s="283" t="s">
        <v>671</v>
      </c>
      <c r="O20" s="283" t="s">
        <v>671</v>
      </c>
    </row>
    <row r="21" spans="1:15" x14ac:dyDescent="0.3">
      <c r="A21" s="283" t="s">
        <v>340</v>
      </c>
      <c r="B21" s="283" t="s">
        <v>354</v>
      </c>
      <c r="C21" s="323" t="s">
        <v>670</v>
      </c>
      <c r="D21" s="323" t="s">
        <v>671</v>
      </c>
      <c r="E21" s="323" t="s">
        <v>671</v>
      </c>
      <c r="F21" s="323" t="s">
        <v>671</v>
      </c>
      <c r="G21" s="283" t="s">
        <v>671</v>
      </c>
      <c r="H21" s="283" t="s">
        <v>671</v>
      </c>
      <c r="I21" s="283"/>
      <c r="J21" s="283"/>
      <c r="K21" s="283" t="s">
        <v>672</v>
      </c>
      <c r="L21" s="283" t="s">
        <v>671</v>
      </c>
      <c r="M21" s="283" t="s">
        <v>671</v>
      </c>
      <c r="N21" s="283" t="s">
        <v>671</v>
      </c>
      <c r="O21" s="283" t="s">
        <v>671</v>
      </c>
    </row>
    <row r="22" spans="1:15" x14ac:dyDescent="0.3">
      <c r="A22" s="283" t="s">
        <v>682</v>
      </c>
      <c r="B22" s="283" t="s">
        <v>355</v>
      </c>
      <c r="C22" s="323" t="s">
        <v>670</v>
      </c>
      <c r="D22" s="323" t="s">
        <v>671</v>
      </c>
      <c r="E22" s="323" t="s">
        <v>672</v>
      </c>
      <c r="F22" s="323" t="s">
        <v>672</v>
      </c>
      <c r="G22" s="283" t="s">
        <v>672</v>
      </c>
      <c r="H22" s="283" t="s">
        <v>672</v>
      </c>
      <c r="I22" s="283"/>
      <c r="J22" s="283"/>
      <c r="K22" s="283" t="s">
        <v>672</v>
      </c>
      <c r="L22" s="283" t="s">
        <v>672</v>
      </c>
      <c r="M22" s="283" t="s">
        <v>672</v>
      </c>
      <c r="N22" s="283" t="s">
        <v>672</v>
      </c>
      <c r="O22" s="283" t="s">
        <v>672</v>
      </c>
    </row>
    <row r="23" spans="1:15" x14ac:dyDescent="0.3">
      <c r="A23" s="283" t="s">
        <v>131</v>
      </c>
      <c r="B23" s="283" t="s">
        <v>356</v>
      </c>
      <c r="C23" s="323" t="s">
        <v>670</v>
      </c>
      <c r="D23" s="323" t="s">
        <v>671</v>
      </c>
      <c r="E23" s="323" t="s">
        <v>672</v>
      </c>
      <c r="F23" s="323" t="s">
        <v>672</v>
      </c>
      <c r="G23" s="283" t="s">
        <v>672</v>
      </c>
      <c r="H23" s="283" t="s">
        <v>672</v>
      </c>
      <c r="I23" s="283"/>
      <c r="J23" s="283"/>
      <c r="K23" s="283" t="s">
        <v>672</v>
      </c>
      <c r="L23" s="283" t="s">
        <v>672</v>
      </c>
      <c r="M23" s="283" t="s">
        <v>672</v>
      </c>
      <c r="N23" s="283" t="s">
        <v>672</v>
      </c>
      <c r="O23" s="283" t="s">
        <v>672</v>
      </c>
    </row>
    <row r="24" spans="1:15" x14ac:dyDescent="0.3">
      <c r="A24" s="283" t="s">
        <v>683</v>
      </c>
      <c r="B24" s="283" t="s">
        <v>447</v>
      </c>
      <c r="C24" s="323" t="s">
        <v>672</v>
      </c>
      <c r="D24" s="323" t="s">
        <v>672</v>
      </c>
      <c r="E24" s="323" t="s">
        <v>671</v>
      </c>
      <c r="F24" s="323" t="s">
        <v>671</v>
      </c>
      <c r="G24" s="283" t="s">
        <v>671</v>
      </c>
      <c r="H24" s="283" t="s">
        <v>671</v>
      </c>
      <c r="I24" s="283"/>
      <c r="J24" s="283"/>
      <c r="K24" s="283" t="s">
        <v>672</v>
      </c>
      <c r="L24" s="283" t="s">
        <v>672</v>
      </c>
      <c r="M24" s="283" t="s">
        <v>671</v>
      </c>
      <c r="N24" s="283" t="s">
        <v>672</v>
      </c>
      <c r="O24" s="283" t="s">
        <v>672</v>
      </c>
    </row>
    <row r="25" spans="1:15" x14ac:dyDescent="0.3">
      <c r="A25" s="283" t="s">
        <v>684</v>
      </c>
      <c r="B25" s="283" t="s">
        <v>344</v>
      </c>
      <c r="C25" s="323" t="s">
        <v>672</v>
      </c>
      <c r="D25" s="323" t="s">
        <v>672</v>
      </c>
      <c r="E25" s="323" t="s">
        <v>671</v>
      </c>
      <c r="F25" s="323" t="s">
        <v>671</v>
      </c>
      <c r="G25" s="283" t="s">
        <v>671</v>
      </c>
      <c r="H25" s="283" t="s">
        <v>671</v>
      </c>
      <c r="I25" s="283"/>
      <c r="J25" s="283"/>
      <c r="K25" s="283" t="s">
        <v>672</v>
      </c>
      <c r="L25" s="283" t="s">
        <v>672</v>
      </c>
      <c r="M25" s="283" t="s">
        <v>672</v>
      </c>
      <c r="N25" s="283" t="s">
        <v>672</v>
      </c>
      <c r="O25" s="283" t="s">
        <v>672</v>
      </c>
    </row>
    <row r="44" spans="17:17" x14ac:dyDescent="0.3">
      <c r="Q44" s="35"/>
    </row>
  </sheetData>
  <sheetProtection sheet="1" objects="1" scenarios="1"/>
  <phoneticPr fontId="2" type="noConversion"/>
  <pageMargins left="0.75" right="0.75" top="1" bottom="1" header="0.5" footer="0.5"/>
  <pageSetup orientation="portrait"/>
  <headerFooter alignWithMargins="0">
    <oddFooter>&amp;LCopyright James W. Over 1998&amp;C:  &amp;F &amp;A&amp;R&amp;D  &amp;P of &amp;N</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57BE-1A08-4978-A392-1CED2BA856F3}">
  <sheetPr codeName="QProfParam"/>
  <dimension ref="A1:K37"/>
  <sheetViews>
    <sheetView showRowColHeaders="0" workbookViewId="0">
      <selection activeCell="B2" sqref="B2"/>
    </sheetView>
  </sheetViews>
  <sheetFormatPr baseColWidth="10" defaultColWidth="9.1328125" defaultRowHeight="10.15" x14ac:dyDescent="0.3"/>
  <cols>
    <col min="1" max="1" width="19.73046875" style="10" customWidth="1"/>
    <col min="2" max="2" width="6.73046875" style="10" customWidth="1"/>
    <col min="3" max="3" width="34.3984375" style="10" bestFit="1" customWidth="1"/>
    <col min="4" max="16384" width="9.1328125" style="4"/>
  </cols>
  <sheetData>
    <row r="1" spans="1:11" x14ac:dyDescent="0.3">
      <c r="A1" s="324" t="s">
        <v>685</v>
      </c>
      <c r="B1" s="325" t="s">
        <v>686</v>
      </c>
      <c r="C1" s="326" t="s">
        <v>2</v>
      </c>
      <c r="D1" s="164"/>
      <c r="E1" s="164"/>
      <c r="F1" s="164"/>
      <c r="G1" s="164"/>
      <c r="H1" s="164"/>
      <c r="I1" s="164"/>
      <c r="J1" s="164"/>
      <c r="K1" s="164"/>
    </row>
    <row r="2" spans="1:11" x14ac:dyDescent="0.3">
      <c r="A2" s="327" t="s">
        <v>310</v>
      </c>
      <c r="B2" s="328">
        <v>1</v>
      </c>
      <c r="C2" s="329" t="s">
        <v>687</v>
      </c>
      <c r="D2" s="164"/>
      <c r="E2" s="164"/>
      <c r="F2" s="164"/>
      <c r="G2" s="164"/>
      <c r="H2" s="164"/>
      <c r="I2" s="164"/>
      <c r="J2" s="164"/>
      <c r="K2" s="164"/>
    </row>
    <row r="3" spans="1:11" x14ac:dyDescent="0.3">
      <c r="A3" s="330" t="s">
        <v>315</v>
      </c>
      <c r="B3" s="331">
        <v>0.5</v>
      </c>
      <c r="C3" s="332" t="s">
        <v>688</v>
      </c>
      <c r="D3" s="164"/>
      <c r="E3" s="164"/>
      <c r="F3" s="164"/>
      <c r="G3" s="164"/>
      <c r="H3" s="164"/>
      <c r="I3" s="164"/>
      <c r="J3" s="164"/>
      <c r="K3" s="164"/>
    </row>
    <row r="4" spans="1:11" x14ac:dyDescent="0.3">
      <c r="A4" s="330" t="s">
        <v>319</v>
      </c>
      <c r="B4" s="156">
        <v>10</v>
      </c>
      <c r="C4" s="332" t="s">
        <v>689</v>
      </c>
      <c r="D4" s="164"/>
      <c r="E4" s="164"/>
      <c r="F4" s="164"/>
      <c r="G4" s="164"/>
      <c r="H4" s="164"/>
      <c r="I4" s="164"/>
      <c r="J4" s="164"/>
      <c r="K4" s="164"/>
    </row>
    <row r="5" spans="1:11" x14ac:dyDescent="0.3">
      <c r="A5" s="330" t="s">
        <v>325</v>
      </c>
      <c r="B5" s="156">
        <v>5</v>
      </c>
      <c r="C5" s="332" t="s">
        <v>690</v>
      </c>
      <c r="D5" s="164"/>
      <c r="E5" s="164"/>
      <c r="F5" s="164"/>
      <c r="G5" s="164"/>
      <c r="H5" s="164"/>
      <c r="I5" s="164"/>
      <c r="J5" s="164"/>
      <c r="K5" s="164"/>
    </row>
    <row r="6" spans="1:11" x14ac:dyDescent="0.3">
      <c r="A6" s="333" t="s">
        <v>328</v>
      </c>
      <c r="B6" s="334">
        <v>0.5</v>
      </c>
      <c r="C6" s="335" t="s">
        <v>691</v>
      </c>
      <c r="D6" s="164"/>
      <c r="E6" s="164"/>
      <c r="F6" s="164"/>
      <c r="G6" s="164"/>
      <c r="H6" s="164"/>
      <c r="I6" s="164"/>
      <c r="J6" s="164"/>
      <c r="K6" s="164"/>
    </row>
    <row r="34" spans="8:9" x14ac:dyDescent="0.3">
      <c r="H34" s="164"/>
      <c r="I34" s="35"/>
    </row>
    <row r="37" spans="8:9" x14ac:dyDescent="0.3">
      <c r="H37" s="35"/>
      <c r="I37" s="164"/>
    </row>
  </sheetData>
  <sheetProtection sheet="1" objects="1" scenarios="1"/>
  <phoneticPr fontId="2" type="noConversion"/>
  <dataValidations count="1">
    <dataValidation type="decimal" operator="greaterThan" showInputMessage="1" showErrorMessage="1" error="values must be greater than zero_x000a_" sqref="B2:B6" xr:uid="{80EAB761-5269-44CF-A920-F7643B2F3041}">
      <formula1>0</formula1>
    </dataValidation>
  </dataValidations>
  <pageMargins left="0.75" right="0.75" top="1" bottom="1" header="0.5" footer="0.5"/>
  <pageSetup orientation="portrait"/>
  <headerFooter alignWithMargins="0">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3251" r:id="rId3" name="Button 3">
              <controlPr defaultSize="0" print="0" autoFill="0" autoPict="0" macro="[0]!QProfParam.restoreQProfParamsDefaults">
                <anchor moveWithCells="1" sizeWithCells="1">
                  <from>
                    <xdr:col>2</xdr:col>
                    <xdr:colOff>61913</xdr:colOff>
                    <xdr:row>6</xdr:row>
                    <xdr:rowOff>80963</xdr:rowOff>
                  </from>
                  <to>
                    <xdr:col>3</xdr:col>
                    <xdr:colOff>0</xdr:colOff>
                    <xdr:row>10</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f5a3c876-ead8-4b81-855c-16cfc7a276b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C45D55322159E4D9DEDBAF62B4E089B" ma:contentTypeVersion="14" ma:contentTypeDescription="Crear nuevo documento." ma:contentTypeScope="" ma:versionID="f97ab0e38710c2bba2b74a2e87e1ae73">
  <xsd:schema xmlns:xsd="http://www.w3.org/2001/XMLSchema" xmlns:xs="http://www.w3.org/2001/XMLSchema" xmlns:p="http://schemas.microsoft.com/office/2006/metadata/properties" xmlns:ns3="f5a3c876-ead8-4b81-855c-16cfc7a276b9" xmlns:ns4="073aec5b-0458-47c9-a51f-06f874b72b7b" targetNamespace="http://schemas.microsoft.com/office/2006/metadata/properties" ma:root="true" ma:fieldsID="a08ad37b064cd69d72109562301e59d9" ns3:_="" ns4:_="">
    <xsd:import namespace="f5a3c876-ead8-4b81-855c-16cfc7a276b9"/>
    <xsd:import namespace="073aec5b-0458-47c9-a51f-06f874b72b7b"/>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ystem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a3c876-ead8-4b81-855c-16cfc7a276b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73aec5b-0458-47c9-a51f-06f874b72b7b"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element name="SharingHintHash" ma:index="14"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C127DE-76BE-4B38-B50A-C64332F61985}">
  <ds:schemaRefs>
    <ds:schemaRef ds:uri="http://schemas.microsoft.com/office/2006/metadata/properties"/>
    <ds:schemaRef ds:uri="http://schemas.microsoft.com/office/infopath/2007/PartnerControls"/>
    <ds:schemaRef ds:uri="f5a3c876-ead8-4b81-855c-16cfc7a276b9"/>
  </ds:schemaRefs>
</ds:datastoreItem>
</file>

<file path=customXml/itemProps2.xml><?xml version="1.0" encoding="utf-8"?>
<ds:datastoreItem xmlns:ds="http://schemas.openxmlformats.org/officeDocument/2006/customXml" ds:itemID="{E1F6F3FB-F185-41D3-9057-B70F99AD97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a3c876-ead8-4b81-855c-16cfc7a276b9"/>
    <ds:schemaRef ds:uri="073aec5b-0458-47c9-a51f-06f874b72b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BCCFA6-E31A-4029-A79B-064146A127D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84</vt:i4>
      </vt:variant>
    </vt:vector>
  </HeadingPairs>
  <TitlesOfParts>
    <vt:vector size="108" baseType="lpstr">
      <vt:lpstr>Index</vt:lpstr>
      <vt:lpstr>TSPi Instructions</vt:lpstr>
      <vt:lpstr>TSP Instructions</vt:lpstr>
      <vt:lpstr>PlanGuide</vt:lpstr>
      <vt:lpstr>QualGuide</vt:lpstr>
      <vt:lpstr>Project</vt:lpstr>
      <vt:lpstr>Team</vt:lpstr>
      <vt:lpstr>Goals</vt:lpstr>
      <vt:lpstr>Roles</vt:lpstr>
      <vt:lpstr>SUMP</vt:lpstr>
      <vt:lpstr>SUMQ</vt:lpstr>
      <vt:lpstr>SUMS</vt:lpstr>
      <vt:lpstr>S</vt:lpstr>
      <vt:lpstr>Task</vt:lpstr>
      <vt:lpstr>Schedule</vt:lpstr>
      <vt:lpstr>Risk</vt:lpstr>
      <vt:lpstr>LOGT</vt:lpstr>
      <vt:lpstr>LOGD</vt:lpstr>
      <vt:lpstr>Week</vt:lpstr>
      <vt:lpstr>IRTL</vt:lpstr>
      <vt:lpstr>IRWeek</vt:lpstr>
      <vt:lpstr>DefectTypes</vt:lpstr>
      <vt:lpstr>Phases</vt:lpstr>
      <vt:lpstr>QProfParam</vt:lpstr>
      <vt:lpstr>DefectTypes!Área_de_impresión</vt:lpstr>
      <vt:lpstr>Goals!Área_de_impresión</vt:lpstr>
      <vt:lpstr>Index!Área_de_impresión</vt:lpstr>
      <vt:lpstr>LOGD!Área_de_impresión</vt:lpstr>
      <vt:lpstr>Project!Área_de_impresión</vt:lpstr>
      <vt:lpstr>QProfParam!Área_de_impresión</vt:lpstr>
      <vt:lpstr>Risk!Área_de_impresión</vt:lpstr>
      <vt:lpstr>Schedule!Área_de_impresión</vt:lpstr>
      <vt:lpstr>SUMP!Área_de_impresión</vt:lpstr>
      <vt:lpstr>SUMQ!Área_de_impresión</vt:lpstr>
      <vt:lpstr>Task!Área_de_impresión</vt:lpstr>
      <vt:lpstr>'TSP Instructions'!Área_de_impresión</vt:lpstr>
      <vt:lpstr>'TSPi Instructions'!Área_de_impresión</vt:lpstr>
      <vt:lpstr>AsOfDateOverride</vt:lpstr>
      <vt:lpstr>Compile_Defects_KLOC</vt:lpstr>
      <vt:lpstr>Compile_Defects_KLOC_Plan</vt:lpstr>
      <vt:lpstr>ComponentQP</vt:lpstr>
      <vt:lpstr>CR_Code_Time_Ratio</vt:lpstr>
      <vt:lpstr>CR_Code_Time_Ratio_Plan</vt:lpstr>
      <vt:lpstr>CumEarnedValue</vt:lpstr>
      <vt:lpstr>CumPlannedActualHours</vt:lpstr>
      <vt:lpstr>Cumulative_Defects_Removed_Plan_Actual</vt:lpstr>
      <vt:lpstr>currentDate</vt:lpstr>
      <vt:lpstr>Cycle</vt:lpstr>
      <vt:lpstr>Defects_Injected_in_Phase_Actual_Percent</vt:lpstr>
      <vt:lpstr>Defects_KLOC</vt:lpstr>
      <vt:lpstr>Defects_KLOC_Plan</vt:lpstr>
      <vt:lpstr>Defects_KLOC_Plan_Actual</vt:lpstr>
      <vt:lpstr>Defects_Removed_in_Phase_Actual_Percent</vt:lpstr>
      <vt:lpstr>Defects_Removed_Plan_Actual</vt:lpstr>
      <vt:lpstr>DefectTypesDatabaseRange</vt:lpstr>
      <vt:lpstr>DLD_Code_Time_Ratio</vt:lpstr>
      <vt:lpstr>DLD_Code_Time_Ratio_Plan</vt:lpstr>
      <vt:lpstr>DLDR_DLD_Time_Ratio</vt:lpstr>
      <vt:lpstr>DLDR_DLD_Time_Ratio_Plan</vt:lpstr>
      <vt:lpstr>EarnedValue</vt:lpstr>
      <vt:lpstr>GoalsDatabaseRange</vt:lpstr>
      <vt:lpstr>Inspection_Review_Rates_Plan_Actual</vt:lpstr>
      <vt:lpstr>InstructorName</vt:lpstr>
      <vt:lpstr>IRTLDatabaseRange</vt:lpstr>
      <vt:lpstr>LOGDDatabaseRange</vt:lpstr>
      <vt:lpstr>LOGTDatabaseRange</vt:lpstr>
      <vt:lpstr>Name</vt:lpstr>
      <vt:lpstr>Phase_Yield_Plan_Actual</vt:lpstr>
      <vt:lpstr>PhaseInjectionRateDefaults</vt:lpstr>
      <vt:lpstr>PhasesDatabaseRange</vt:lpstr>
      <vt:lpstr>PhaseYieldDefaults</vt:lpstr>
      <vt:lpstr>PlannedActualHours</vt:lpstr>
      <vt:lpstr>PlannedPhaseInjectionRates</vt:lpstr>
      <vt:lpstr>PlannedPhaseYields</vt:lpstr>
      <vt:lpstr>Process_Yield_Plan_Actual</vt:lpstr>
      <vt:lpstr>ProjectInfo</vt:lpstr>
      <vt:lpstr>ProjectName</vt:lpstr>
      <vt:lpstr>ProjectStartDate</vt:lpstr>
      <vt:lpstr>QPI_Plan_Actual</vt:lpstr>
      <vt:lpstr>QProfParams</vt:lpstr>
      <vt:lpstr>RolesData</vt:lpstr>
      <vt:lpstr>ScheduleDatabaseRange</vt:lpstr>
      <vt:lpstr>SUMQData</vt:lpstr>
      <vt:lpstr>SUMSDatabaseRange</vt:lpstr>
      <vt:lpstr>SYSTEM_Percent_Defect_Free</vt:lpstr>
      <vt:lpstr>TaskDatabaseRange</vt:lpstr>
      <vt:lpstr>TeamData</vt:lpstr>
      <vt:lpstr>TeamDatabaseRange</vt:lpstr>
      <vt:lpstr>TeamName</vt:lpstr>
      <vt:lpstr>TeamTasksHoursWeeks</vt:lpstr>
      <vt:lpstr>theWeekToShow</vt:lpstr>
      <vt:lpstr>theWeekToShowDate</vt:lpstr>
      <vt:lpstr>Time_in_Phase_Actual_Percent</vt:lpstr>
      <vt:lpstr>LOGD!Títulos_a_imprimir</vt:lpstr>
      <vt:lpstr>LOGT!Títulos_a_imprimir</vt:lpstr>
      <vt:lpstr>Schedule!Títulos_a_imprimir</vt:lpstr>
      <vt:lpstr>SUMP!Títulos_a_imprimir</vt:lpstr>
      <vt:lpstr>SUMQ!Títulos_a_imprimir</vt:lpstr>
      <vt:lpstr>SUMS!Títulos_a_imprimir</vt:lpstr>
      <vt:lpstr>Task!Títulos_a_imprimir</vt:lpstr>
      <vt:lpstr>Week!Títulos_a_imprimir</vt:lpstr>
      <vt:lpstr>TSPProcessName</vt:lpstr>
      <vt:lpstr>Unit_Test_Defects_KLOC</vt:lpstr>
      <vt:lpstr>Unit_Test_Defects_KLOC_Plan</vt:lpstr>
      <vt:lpstr>validTeamMembersInitials</vt:lpstr>
      <vt:lpstr>Version</vt:lpstr>
      <vt:lpstr>WeekAssemblySelected</vt:lpstr>
      <vt:lpstr>WEEKData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Jim Over</dc:creator>
  <cp:keywords/>
  <dc:description/>
  <cp:lastModifiedBy>ISAAC DIAZ PEREZ</cp:lastModifiedBy>
  <cp:revision/>
  <dcterms:created xsi:type="dcterms:W3CDTF">1997-09-28T23:27:35Z</dcterms:created>
  <dcterms:modified xsi:type="dcterms:W3CDTF">2026-06-10T01:52:34Z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0x010100AC45D55322159E4D9DEDBAF62B4E089B</vt:lpwstr>
  </property>
</Properties>
</file>